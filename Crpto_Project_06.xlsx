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yashr\.vscode\pract\myproject\"/>
    </mc:Choice>
  </mc:AlternateContent>
  <xr:revisionPtr revIDLastSave="0" documentId="8_{45F48268-AB01-4D20-A233-F99ED9AF7C72}" xr6:coauthVersionLast="47" xr6:coauthVersionMax="47" xr10:uidLastSave="{00000000-0000-0000-0000-000000000000}"/>
  <bookViews>
    <workbookView xWindow="-110" yWindow="-110" windowWidth="19420" windowHeight="10300" activeTab="2" xr2:uid="{00000000-000D-0000-FFFF-FFFF00000000}"/>
  </bookViews>
  <sheets>
    <sheet name="raw_data" sheetId="1" r:id="rId1"/>
    <sheet name="cleaned_data" sheetId="5" r:id="rId2"/>
    <sheet name="DASHBOARD" sheetId="6" r:id="rId3"/>
  </sheets>
  <definedNames>
    <definedName name="ExternalData_1" localSheetId="1" hidden="1">cleaned_data!$A$1:$H$259</definedName>
    <definedName name="Slicer_Price_Category">#N/A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6" l="1"/>
  <c r="V33" i="6"/>
  <c r="V34" i="6"/>
  <c r="V35" i="6"/>
  <c r="V36" i="6"/>
  <c r="V37" i="6"/>
  <c r="U33" i="6"/>
  <c r="U34" i="6"/>
  <c r="U35" i="6"/>
  <c r="U36" i="6"/>
  <c r="U37" i="6"/>
  <c r="D3" i="6" l="1"/>
  <c r="V38"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8755C5-A168-48B1-B87D-F9E1907D901D}" keepAlive="1" name="Query - raw_data" description="Connection to the 'raw_data' query in the workbook." type="5" refreshedVersion="0" background="1">
    <dbPr connection="Provider=Microsoft.Mashup.OleDb.1;Data Source=$Workbook$;Location=raw_data;Extended Properties=&quot;&quot;" command="SELECT * FROM [raw_data]"/>
  </connection>
  <connection id="2" xr16:uid="{14B70E3E-335E-4D38-8A3F-8AC3615F6A94}" keepAlive="1" name="Query - raw_data (2)" description="Connection to the 'raw_data (2)' query in the workbook." type="5" refreshedVersion="0" background="1">
    <dbPr connection="Provider=Microsoft.Mashup.OleDb.1;Data Source=$Workbook$;Location=&quot;raw_data (2)&quot;;Extended Properties=&quot;&quot;" command="SELECT * FROM [raw_data (2)]"/>
  </connection>
  <connection id="3" xr16:uid="{1A3C3E52-B908-4B4C-B28D-A238DFA225DF}" keepAlive="1" name="Query - raw_data (3)" description="Connection to the 'raw_data (3)' query in the workbook." type="5" refreshedVersion="0" background="1">
    <dbPr connection="Provider=Microsoft.Mashup.OleDb.1;Data Source=$Workbook$;Location=&quot;raw_data (3)&quot;;Extended Properties=&quot;&quot;" command="SELECT * FROM [raw_data (3)]"/>
  </connection>
  <connection id="4" xr16:uid="{B768AF02-204C-4DEC-B53E-7A557CB0532D}" keepAlive="1" name="Query - raw_data (4)" description="Connection to the 'raw_data (4)' query in the workbook." type="5" refreshedVersion="8" background="1" saveData="1">
    <dbPr connection="Provider=Microsoft.Mashup.OleDb.1;Data Source=$Workbook$;Location=&quot;raw_data (4)&quot;;Extended Properties=&quot;&quot;" command="SELECT * FROM [raw_data (4)]"/>
  </connection>
</connections>
</file>

<file path=xl/sharedStrings.xml><?xml version="1.0" encoding="utf-8"?>
<sst xmlns="http://schemas.openxmlformats.org/spreadsheetml/2006/main" count="2667" uniqueCount="1576">
  <si>
    <t>Coin Name</t>
  </si>
  <si>
    <t>Symbol</t>
  </si>
  <si>
    <t>Price (USD)</t>
  </si>
  <si>
    <t>Market Capital</t>
  </si>
  <si>
    <t>Volume (24h)</t>
  </si>
  <si>
    <t>Circulating Supply</t>
  </si>
  <si>
    <t>Bitcoin</t>
  </si>
  <si>
    <t>BTC</t>
  </si>
  <si>
    <t>$80,714.75</t>
  </si>
  <si>
    <t>$1,615,811,626,193</t>
  </si>
  <si>
    <t>$45,652,836,784</t>
  </si>
  <si>
    <t>20.02M</t>
  </si>
  <si>
    <t>Ethereum</t>
  </si>
  <si>
    <t>ETH</t>
  </si>
  <si>
    <t>$2,372.21</t>
  </si>
  <si>
    <t>$286,127,949,730</t>
  </si>
  <si>
    <t>$19,566,352,114</t>
  </si>
  <si>
    <t>120.68M</t>
  </si>
  <si>
    <t>Tether</t>
  </si>
  <si>
    <t>USDT</t>
  </si>
  <si>
    <t>$0.9998</t>
  </si>
  <si>
    <t>$189,538,021,949</t>
  </si>
  <si>
    <t>$133,380,001,774</t>
  </si>
  <si>
    <t>189.57B</t>
  </si>
  <si>
    <t>XRP</t>
  </si>
  <si>
    <t>$1.40</t>
  </si>
  <si>
    <t>$86,723,295,883</t>
  </si>
  <si>
    <t>$2,057,869,941</t>
  </si>
  <si>
    <t>61.79B</t>
  </si>
  <si>
    <t>BNB</t>
  </si>
  <si>
    <t>$627.08</t>
  </si>
  <si>
    <t>$84,521,570,526</t>
  </si>
  <si>
    <t>$1,748,367,843</t>
  </si>
  <si>
    <t>134.78M</t>
  </si>
  <si>
    <t>USDC</t>
  </si>
  <si>
    <t>$77,752,991,827</t>
  </si>
  <si>
    <t>$57,775,900,032</t>
  </si>
  <si>
    <t>77.76B</t>
  </si>
  <si>
    <t>Solana</t>
  </si>
  <si>
    <t>SOL</t>
  </si>
  <si>
    <t>$84.64</t>
  </si>
  <si>
    <t>$48,782,500,244</t>
  </si>
  <si>
    <t>$4,370,042,009</t>
  </si>
  <si>
    <t>576.34M</t>
  </si>
  <si>
    <t>TRON</t>
  </si>
  <si>
    <t>TRX</t>
  </si>
  <si>
    <t>$0.3406</t>
  </si>
  <si>
    <t>$32,292,490,195</t>
  </si>
  <si>
    <t>$810,662,274</t>
  </si>
  <si>
    <t>94.79B</t>
  </si>
  <si>
    <t>Dogecoin</t>
  </si>
  <si>
    <t>DOGE</t>
  </si>
  <si>
    <t>$0.1111</t>
  </si>
  <si>
    <t>$18,881,775,480</t>
  </si>
  <si>
    <t>$1,658,004,162</t>
  </si>
  <si>
    <t>169.82B</t>
  </si>
  <si>
    <t>Hyperliquid</t>
  </si>
  <si>
    <t>HYPE</t>
  </si>
  <si>
    <t>$43.00</t>
  </si>
  <si>
    <t>$10,954,803,211</t>
  </si>
  <si>
    <t>$314,423,799</t>
  </si>
  <si>
    <t>254.7M</t>
  </si>
  <si>
    <t>UNUS SED LEO</t>
  </si>
  <si>
    <t>LEO</t>
  </si>
  <si>
    <t>$10.32</t>
  </si>
  <si>
    <t>$9,508,010,388</t>
  </si>
  <si>
    <t>$465,925</t>
  </si>
  <si>
    <t>920.69M</t>
  </si>
  <si>
    <t>Cardano</t>
  </si>
  <si>
    <t>ADA</t>
  </si>
  <si>
    <t>$0.2584</t>
  </si>
  <si>
    <t>$9,354,644,073</t>
  </si>
  <si>
    <t>$510,150,855</t>
  </si>
  <si>
    <t>36.19B</t>
  </si>
  <si>
    <t>Bitcoin Cash</t>
  </si>
  <si>
    <t>BCH</t>
  </si>
  <si>
    <t>$454.95</t>
  </si>
  <si>
    <t>$9,112,882,354</t>
  </si>
  <si>
    <t>$292,979,455</t>
  </si>
  <si>
    <t>20.03M</t>
  </si>
  <si>
    <t>Monero</t>
  </si>
  <si>
    <t>XMR</t>
  </si>
  <si>
    <t>$405.43</t>
  </si>
  <si>
    <t>$7,478,953,329</t>
  </si>
  <si>
    <t>$138,602,766</t>
  </si>
  <si>
    <t>18.44M</t>
  </si>
  <si>
    <t>SPX6900</t>
  </si>
  <si>
    <t>SPX</t>
  </si>
  <si>
    <t>$0.4030</t>
  </si>
  <si>
    <t>$375,235,836</t>
  </si>
  <si>
    <t>$8,194,317</t>
  </si>
  <si>
    <t>930.99M</t>
  </si>
  <si>
    <t>Sun [New]</t>
  </si>
  <si>
    <t>SUN</t>
  </si>
  <si>
    <t>$0.01921</t>
  </si>
  <si>
    <t>$369,241,408</t>
  </si>
  <si>
    <t>$67,910,537</t>
  </si>
  <si>
    <t>19.21B</t>
  </si>
  <si>
    <t>Monad</t>
  </si>
  <si>
    <t>MON</t>
  </si>
  <si>
    <t>$0.03040</t>
  </si>
  <si>
    <t>$359,533,550</t>
  </si>
  <si>
    <t>$58,166,372</t>
  </si>
  <si>
    <t>11.82B</t>
  </si>
  <si>
    <t>Curve DAO Token</t>
  </si>
  <si>
    <t>CRV</t>
  </si>
  <si>
    <t>$0.2397</t>
  </si>
  <si>
    <t>$359,475,646</t>
  </si>
  <si>
    <t>$51,921,229</t>
  </si>
  <si>
    <t>1.49B</t>
  </si>
  <si>
    <t>ether.fi</t>
  </si>
  <si>
    <t>ETHFI</t>
  </si>
  <si>
    <t>$0.4222</t>
  </si>
  <si>
    <t>$352,989,364</t>
  </si>
  <si>
    <t>$28,432,421</t>
  </si>
  <si>
    <t>835.96M</t>
  </si>
  <si>
    <t>BUILDon</t>
  </si>
  <si>
    <t>B</t>
  </si>
  <si>
    <t>$0.3493</t>
  </si>
  <si>
    <t>$349,373,651</t>
  </si>
  <si>
    <t>$95,749,672</t>
  </si>
  <si>
    <t>1B</t>
  </si>
  <si>
    <t>Gnosis</t>
  </si>
  <si>
    <t>GNO</t>
  </si>
  <si>
    <t>$132.21</t>
  </si>
  <si>
    <t>$348,986,468</t>
  </si>
  <si>
    <t>$4,188,648</t>
  </si>
  <si>
    <t>2.63M</t>
  </si>
  <si>
    <t>Immutable</t>
  </si>
  <si>
    <t>IMX</t>
  </si>
  <si>
    <t>$0.1708</t>
  </si>
  <si>
    <t>$341,752,440</t>
  </si>
  <si>
    <t>$20,322,314</t>
  </si>
  <si>
    <t>2B</t>
  </si>
  <si>
    <t>Zebec Network</t>
  </si>
  <si>
    <t>ZBCN</t>
  </si>
  <si>
    <t>$0.003414</t>
  </si>
  <si>
    <t>$341,449,454</t>
  </si>
  <si>
    <t>$6,843,199</t>
  </si>
  <si>
    <t>99.99B</t>
  </si>
  <si>
    <t>Decred</t>
  </si>
  <si>
    <t>DCR</t>
  </si>
  <si>
    <t>$19.45</t>
  </si>
  <si>
    <t>$338,637,227</t>
  </si>
  <si>
    <t>$2,983,201</t>
  </si>
  <si>
    <t>17.4M</t>
  </si>
  <si>
    <t>Celestia</t>
  </si>
  <si>
    <t>TIA</t>
  </si>
  <si>
    <t>$0.3700</t>
  </si>
  <si>
    <t>$337,963,581</t>
  </si>
  <si>
    <t>$48,169,940</t>
  </si>
  <si>
    <t>913.24M</t>
  </si>
  <si>
    <t>Bitcoin SV</t>
  </si>
  <si>
    <t>BSV</t>
  </si>
  <si>
    <t>$16.32</t>
  </si>
  <si>
    <t>$326,867,282</t>
  </si>
  <si>
    <t>$15,411,866</t>
  </si>
  <si>
    <t>Conflux</t>
  </si>
  <si>
    <t>CFX</t>
  </si>
  <si>
    <t>$0.06167</t>
  </si>
  <si>
    <t>$321,115,259</t>
  </si>
  <si>
    <t>$23,759,002</t>
  </si>
  <si>
    <t>5.2B</t>
  </si>
  <si>
    <t>BitTorrent [New]</t>
  </si>
  <si>
    <t>BTT</t>
  </si>
  <si>
    <t>$0.063227</t>
  </si>
  <si>
    <t>$318,597,644</t>
  </si>
  <si>
    <t>$8,137,351</t>
  </si>
  <si>
    <t>987.03T</t>
  </si>
  <si>
    <t>Lido DAO</t>
  </si>
  <si>
    <t>LDO</t>
  </si>
  <si>
    <t>$0.3748</t>
  </si>
  <si>
    <t>$318,245,786</t>
  </si>
  <si>
    <t>$52,395,044</t>
  </si>
  <si>
    <t>849.05M</t>
  </si>
  <si>
    <t>Rain</t>
  </si>
  <si>
    <t>RAIN</t>
  </si>
  <si>
    <t>$0.007451</t>
  </si>
  <si>
    <t>$3,564,941,435</t>
  </si>
  <si>
    <t>$19,844,492</t>
  </si>
  <si>
    <t>478.4B</t>
  </si>
  <si>
    <t>HTX</t>
  </si>
  <si>
    <t>$0.051927</t>
  </si>
  <si>
    <t>$1,745,352,745</t>
  </si>
  <si>
    <t>$6,719,887</t>
  </si>
  <si>
    <t>905.7T</t>
  </si>
  <si>
    <t>Falcon USD</t>
  </si>
  <si>
    <t>USDf</t>
  </si>
  <si>
    <t>$0.9979</t>
  </si>
  <si>
    <t>$1,620,920,598</t>
  </si>
  <si>
    <t>$610,355</t>
  </si>
  <si>
    <t>1.62B</t>
  </si>
  <si>
    <t>Ondo US Dollar Yield</t>
  </si>
  <si>
    <t>USDY</t>
  </si>
  <si>
    <t>$1.12</t>
  </si>
  <si>
    <t>$1,320,164,017</t>
  </si>
  <si>
    <t>$110,637</t>
  </si>
  <si>
    <t>1.17B</t>
  </si>
  <si>
    <t>c8ntinuum</t>
  </si>
  <si>
    <t>CTM</t>
  </si>
  <si>
    <t>$0.2196</t>
  </si>
  <si>
    <t>$979,489,925</t>
  </si>
  <si>
    <t>$2,008,835</t>
  </si>
  <si>
    <t>4.45B</t>
  </si>
  <si>
    <t>Jupiter Perps LP</t>
  </si>
  <si>
    <t>JLP</t>
  </si>
  <si>
    <t>$3.91</t>
  </si>
  <si>
    <t>$927,006,953</t>
  </si>
  <si>
    <t>$5,715,095</t>
  </si>
  <si>
    <t>236.68M</t>
  </si>
  <si>
    <t>Beldex</t>
  </si>
  <si>
    <t>BDX</t>
  </si>
  <si>
    <t>$0.07994</t>
  </si>
  <si>
    <t>$618,624,430</t>
  </si>
  <si>
    <t>$11,420,471</t>
  </si>
  <si>
    <t>7.73B</t>
  </si>
  <si>
    <t>GHO</t>
  </si>
  <si>
    <t>$0.9996</t>
  </si>
  <si>
    <t>$583,813,175</t>
  </si>
  <si>
    <t>$901,520</t>
  </si>
  <si>
    <t>584M</t>
  </si>
  <si>
    <t>LAB</t>
  </si>
  <si>
    <t>$2.45</t>
  </si>
  <si>
    <t>$566,710,139</t>
  </si>
  <si>
    <t>$133,102,984</t>
  </si>
  <si>
    <t>230.4M</t>
  </si>
  <si>
    <t>Usual USD</t>
  </si>
  <si>
    <t>USD0</t>
  </si>
  <si>
    <t>$0.9982</t>
  </si>
  <si>
    <t>$566,083,831</t>
  </si>
  <si>
    <t>$26,756</t>
  </si>
  <si>
    <t>567.05M</t>
  </si>
  <si>
    <t>USDai</t>
  </si>
  <si>
    <t>USDAI</t>
  </si>
  <si>
    <t>$501,283,934</t>
  </si>
  <si>
    <t>$6,351</t>
  </si>
  <si>
    <t>501.35M</t>
  </si>
  <si>
    <t>Solstice USX</t>
  </si>
  <si>
    <t>USX</t>
  </si>
  <si>
    <t>$0.9995</t>
  </si>
  <si>
    <t>$359,540,661</t>
  </si>
  <si>
    <t>$371,986</t>
  </si>
  <si>
    <t>359.69M</t>
  </si>
  <si>
    <t>Ducky</t>
  </si>
  <si>
    <t>DUCKY</t>
  </si>
  <si>
    <t>$0.0008057</t>
  </si>
  <si>
    <t>$333,884,830</t>
  </si>
  <si>
    <t>$315,121</t>
  </si>
  <si>
    <t>414.4B</t>
  </si>
  <si>
    <t>USDGO</t>
  </si>
  <si>
    <t>$315,960,326</t>
  </si>
  <si>
    <t>$2,950,958</t>
  </si>
  <si>
    <t>316M</t>
  </si>
  <si>
    <t>Unibase</t>
  </si>
  <si>
    <t>UB</t>
  </si>
  <si>
    <t>$0.1255</t>
  </si>
  <si>
    <t>$313,782,073</t>
  </si>
  <si>
    <t>$44,290,617</t>
  </si>
  <si>
    <t>2.5B</t>
  </si>
  <si>
    <t>would</t>
  </si>
  <si>
    <t>WOULD</t>
  </si>
  <si>
    <t>$0.07903</t>
  </si>
  <si>
    <t>$78,992,728</t>
  </si>
  <si>
    <t>$104,056</t>
  </si>
  <si>
    <t>999.45M</t>
  </si>
  <si>
    <t>Oasis</t>
  </si>
  <si>
    <t>ROSE</t>
  </si>
  <si>
    <t>$0.01024</t>
  </si>
  <si>
    <t>$77,785,248</t>
  </si>
  <si>
    <t>$3,624,063</t>
  </si>
  <si>
    <t>7.58B</t>
  </si>
  <si>
    <t>UnifAI Network</t>
  </si>
  <si>
    <t>UAI</t>
  </si>
  <si>
    <t>$0.3240</t>
  </si>
  <si>
    <t>$77,458,357</t>
  </si>
  <si>
    <t>$4,222,586</t>
  </si>
  <si>
    <t>239M</t>
  </si>
  <si>
    <t>Toshi</t>
  </si>
  <si>
    <t>TOSHI</t>
  </si>
  <si>
    <t>$0.0001827</t>
  </si>
  <si>
    <t>$76,871,340</t>
  </si>
  <si>
    <t>$9,361,376</t>
  </si>
  <si>
    <t>420.66B</t>
  </si>
  <si>
    <t>GMX</t>
  </si>
  <si>
    <t>$7.35</t>
  </si>
  <si>
    <t>$76,512,234</t>
  </si>
  <si>
    <t>$5,776,745</t>
  </si>
  <si>
    <t>10.39M</t>
  </si>
  <si>
    <t>lisUSD</t>
  </si>
  <si>
    <t>$0.9983</t>
  </si>
  <si>
    <t>$76,170,927</t>
  </si>
  <si>
    <t>76.29M</t>
  </si>
  <si>
    <t>Blur</t>
  </si>
  <si>
    <t>BLUR</t>
  </si>
  <si>
    <t>$0.02725</t>
  </si>
  <si>
    <t>$76,087,898</t>
  </si>
  <si>
    <t>$20,449,566</t>
  </si>
  <si>
    <t>2.79B</t>
  </si>
  <si>
    <t>Amp</t>
  </si>
  <si>
    <t>AMP</t>
  </si>
  <si>
    <t>$0.0008734</t>
  </si>
  <si>
    <t>$75,794,640</t>
  </si>
  <si>
    <t>$6,708,441</t>
  </si>
  <si>
    <t>86.78B</t>
  </si>
  <si>
    <t>Alchemy Pay</t>
  </si>
  <si>
    <t>ACH</t>
  </si>
  <si>
    <t>$0.007552</t>
  </si>
  <si>
    <t>$75,524,361</t>
  </si>
  <si>
    <t>$14,560,519</t>
  </si>
  <si>
    <t>9.99B</t>
  </si>
  <si>
    <t>Astar</t>
  </si>
  <si>
    <t>ASTR</t>
  </si>
  <si>
    <t>$0.008689</t>
  </si>
  <si>
    <t>$75,463,656</t>
  </si>
  <si>
    <t>$3,309,716</t>
  </si>
  <si>
    <t>8.68B</t>
  </si>
  <si>
    <t>Ronin</t>
  </si>
  <si>
    <t>RON</t>
  </si>
  <si>
    <t>$0.09733</t>
  </si>
  <si>
    <t>$75,180,443</t>
  </si>
  <si>
    <t>$4,171,835</t>
  </si>
  <si>
    <t>772.4M</t>
  </si>
  <si>
    <t>Holo</t>
  </si>
  <si>
    <t>HOT</t>
  </si>
  <si>
    <t>$0.0004254</t>
  </si>
  <si>
    <t>$74,813,247</t>
  </si>
  <si>
    <t>$5,179,120</t>
  </si>
  <si>
    <t>175.85B</t>
  </si>
  <si>
    <t>Nervos Network</t>
  </si>
  <si>
    <t>CKB</t>
  </si>
  <si>
    <t>$0.001528</t>
  </si>
  <si>
    <t>$74,465,832</t>
  </si>
  <si>
    <t>$3,843,359</t>
  </si>
  <si>
    <t>48.7B</t>
  </si>
  <si>
    <t>Fogo</t>
  </si>
  <si>
    <t>FOGO</t>
  </si>
  <si>
    <t>$0.01929</t>
  </si>
  <si>
    <t>$73,660,773</t>
  </si>
  <si>
    <t>$12,584,867</t>
  </si>
  <si>
    <t>3.81B</t>
  </si>
  <si>
    <t>Comedian</t>
  </si>
  <si>
    <t>BAN</t>
  </si>
  <si>
    <t>$0.07339</t>
  </si>
  <si>
    <t>$73,396,694</t>
  </si>
  <si>
    <t>$9,247,752</t>
  </si>
  <si>
    <t>999.96M</t>
  </si>
  <si>
    <t>Ankr</t>
  </si>
  <si>
    <t>ANKR</t>
  </si>
  <si>
    <t>$0.004990</t>
  </si>
  <si>
    <t>$49,902,972</t>
  </si>
  <si>
    <t>$10,783,966</t>
  </si>
  <si>
    <t>10B</t>
  </si>
  <si>
    <t>StorX Network</t>
  </si>
  <si>
    <t>SRX</t>
  </si>
  <si>
    <t>$0.05950</t>
  </si>
  <si>
    <t>$49,630,667</t>
  </si>
  <si>
    <t>$2,546,392</t>
  </si>
  <si>
    <t>834M</t>
  </si>
  <si>
    <t>Law Blocks (AI)</t>
  </si>
  <si>
    <t>LBT</t>
  </si>
  <si>
    <t>$0.2022</t>
  </si>
  <si>
    <t>$49,554,211</t>
  </si>
  <si>
    <t>$480,175</t>
  </si>
  <si>
    <t>244.99M</t>
  </si>
  <si>
    <t>Mask Network</t>
  </si>
  <si>
    <t>MASK</t>
  </si>
  <si>
    <t>$0.4940</t>
  </si>
  <si>
    <t>$49,401,484</t>
  </si>
  <si>
    <t>$16,337,624</t>
  </si>
  <si>
    <t>100M</t>
  </si>
  <si>
    <t>Merlin Chain</t>
  </si>
  <si>
    <t>MERL</t>
  </si>
  <si>
    <t>$0.03992</t>
  </si>
  <si>
    <t>$49,367,766</t>
  </si>
  <si>
    <t>$11,683,768</t>
  </si>
  <si>
    <t>1.23B</t>
  </si>
  <si>
    <t>ssv.network</t>
  </si>
  <si>
    <t>SSV</t>
  </si>
  <si>
    <t>$2.85</t>
  </si>
  <si>
    <t>$49,258,508</t>
  </si>
  <si>
    <t>$14,061,483</t>
  </si>
  <si>
    <t>17.24M</t>
  </si>
  <si>
    <t>Succinct</t>
  </si>
  <si>
    <t>PROVE</t>
  </si>
  <si>
    <t>$0.2513</t>
  </si>
  <si>
    <t>$49,022,859</t>
  </si>
  <si>
    <t>$7,136,430</t>
  </si>
  <si>
    <t>195M</t>
  </si>
  <si>
    <t>Hive</t>
  </si>
  <si>
    <t>HIVE</t>
  </si>
  <si>
    <t>$0.09029</t>
  </si>
  <si>
    <t>$48,908,450</t>
  </si>
  <si>
    <t>$42,177,361</t>
  </si>
  <si>
    <t>541.67M</t>
  </si>
  <si>
    <t>TROLL (SOL)</t>
  </si>
  <si>
    <t>TROLL</t>
  </si>
  <si>
    <t>$0.04863</t>
  </si>
  <si>
    <t>$48,582,626</t>
  </si>
  <si>
    <t>$11,400,199</t>
  </si>
  <si>
    <t>998.88M</t>
  </si>
  <si>
    <t>Altlayer</t>
  </si>
  <si>
    <t>ALT</t>
  </si>
  <si>
    <t>$0.007866</t>
  </si>
  <si>
    <t>$48,480,192</t>
  </si>
  <si>
    <t>$7,844,929</t>
  </si>
  <si>
    <t>6.16B</t>
  </si>
  <si>
    <t>Status</t>
  </si>
  <si>
    <t>SNT</t>
  </si>
  <si>
    <t>$0.01006</t>
  </si>
  <si>
    <t>$48,415,639</t>
  </si>
  <si>
    <t>$3,390,339</t>
  </si>
  <si>
    <t>4.8B</t>
  </si>
  <si>
    <t>XYO</t>
  </si>
  <si>
    <t>$0.003489</t>
  </si>
  <si>
    <t>$47,896,221</t>
  </si>
  <si>
    <t>$6,976,369</t>
  </si>
  <si>
    <t>13.72B</t>
  </si>
  <si>
    <t>Score</t>
  </si>
  <si>
    <t>SN44</t>
  </si>
  <si>
    <t>$11.07</t>
  </si>
  <si>
    <t>$47,823,099</t>
  </si>
  <si>
    <t>$3,497,033</t>
  </si>
  <si>
    <t>4.31M</t>
  </si>
  <si>
    <t>Atoshi</t>
  </si>
  <si>
    <t>ATOS</t>
  </si>
  <si>
    <t>$0.04071</t>
  </si>
  <si>
    <t>$36,772,464</t>
  </si>
  <si>
    <t>$19,215</t>
  </si>
  <si>
    <t>903.16M</t>
  </si>
  <si>
    <t>MobileCoin</t>
  </si>
  <si>
    <t>MOB</t>
  </si>
  <si>
    <t>$0.1845</t>
  </si>
  <si>
    <t>$36,622,824</t>
  </si>
  <si>
    <t>$6,535</t>
  </si>
  <si>
    <t>198.39M</t>
  </si>
  <si>
    <t>GoPlus Security</t>
  </si>
  <si>
    <t>GPS</t>
  </si>
  <si>
    <t>$0.008095</t>
  </si>
  <si>
    <t>$36,582,048</t>
  </si>
  <si>
    <t>$4,599,592</t>
  </si>
  <si>
    <t>4.51B</t>
  </si>
  <si>
    <t>Burnedfi</t>
  </si>
  <si>
    <t>BURN</t>
  </si>
  <si>
    <t>$2.95</t>
  </si>
  <si>
    <t>$36,531,693</t>
  </si>
  <si>
    <t>$66,179</t>
  </si>
  <si>
    <t>12.34M</t>
  </si>
  <si>
    <t>Decentralized Social</t>
  </si>
  <si>
    <t>DESO</t>
  </si>
  <si>
    <t>$4.09</t>
  </si>
  <si>
    <t>$36,341,538</t>
  </si>
  <si>
    <t>$28,191</t>
  </si>
  <si>
    <t>8.88M</t>
  </si>
  <si>
    <t>Espresso</t>
  </si>
  <si>
    <t>ESP</t>
  </si>
  <si>
    <t>$0.06971</t>
  </si>
  <si>
    <t>$36,292,516</t>
  </si>
  <si>
    <t>$8,609,320</t>
  </si>
  <si>
    <t>520.55M</t>
  </si>
  <si>
    <t>Snek</t>
  </si>
  <si>
    <t>SNEK</t>
  </si>
  <si>
    <t>$0.0004851</t>
  </si>
  <si>
    <t>$36,247,561</t>
  </si>
  <si>
    <t>$8,647,908</t>
  </si>
  <si>
    <t>74.71B</t>
  </si>
  <si>
    <t>Steem</t>
  </si>
  <si>
    <t>STEEM</t>
  </si>
  <si>
    <t>$0.06618</t>
  </si>
  <si>
    <t>$36,176,808</t>
  </si>
  <si>
    <t>$46,397,599</t>
  </si>
  <si>
    <t>546.63M</t>
  </si>
  <si>
    <t>Prom</t>
  </si>
  <si>
    <t>PROM</t>
  </si>
  <si>
    <t>$1.98</t>
  </si>
  <si>
    <t>$36,139,094</t>
  </si>
  <si>
    <t>$2,216,355</t>
  </si>
  <si>
    <t>18.25M</t>
  </si>
  <si>
    <t>Cyber</t>
  </si>
  <si>
    <t>CYBER</t>
  </si>
  <si>
    <t>$0.5476</t>
  </si>
  <si>
    <t>$36,119,506</t>
  </si>
  <si>
    <t>$6,526,938</t>
  </si>
  <si>
    <t>65.95M</t>
  </si>
  <si>
    <t>Secret</t>
  </si>
  <si>
    <t>SCRT</t>
  </si>
  <si>
    <t>$0.1064</t>
  </si>
  <si>
    <t>$36,115,608</t>
  </si>
  <si>
    <t>$1,795,181</t>
  </si>
  <si>
    <t>339.24M</t>
  </si>
  <si>
    <t>MVL</t>
  </si>
  <si>
    <t>$0.001297</t>
  </si>
  <si>
    <t>$36,061,699</t>
  </si>
  <si>
    <t>$154,445</t>
  </si>
  <si>
    <t>27.8B</t>
  </si>
  <si>
    <t>DOGS</t>
  </si>
  <si>
    <t>$0.00006962</t>
  </si>
  <si>
    <t>$35,979,632</t>
  </si>
  <si>
    <t>$240,360,425</t>
  </si>
  <si>
    <t>516.75B</t>
  </si>
  <si>
    <t>Nockchain</t>
  </si>
  <si>
    <t>NOCK</t>
  </si>
  <si>
    <t>$0.01874</t>
  </si>
  <si>
    <t>$35,977,126</t>
  </si>
  <si>
    <t>$957,024</t>
  </si>
  <si>
    <t>1.91B</t>
  </si>
  <si>
    <t>Liquity USD</t>
  </si>
  <si>
    <t>LUSD</t>
  </si>
  <si>
    <t>$1.00</t>
  </si>
  <si>
    <t>$28,721,387</t>
  </si>
  <si>
    <t>28.65M</t>
  </si>
  <si>
    <t>MiL.k</t>
  </si>
  <si>
    <t>MLK</t>
  </si>
  <si>
    <t>$0.05233</t>
  </si>
  <si>
    <t>$28,654,402</t>
  </si>
  <si>
    <t>$3,740,400</t>
  </si>
  <si>
    <t>547.52M</t>
  </si>
  <si>
    <t>USDK</t>
  </si>
  <si>
    <t>$28,652,107</t>
  </si>
  <si>
    <t>28.6M</t>
  </si>
  <si>
    <t>XPIN Network</t>
  </si>
  <si>
    <t>XPIN</t>
  </si>
  <si>
    <t>$0.001245</t>
  </si>
  <si>
    <t>$28,629,432</t>
  </si>
  <si>
    <t>$3,495,647</t>
  </si>
  <si>
    <t>22.98B</t>
  </si>
  <si>
    <t>Audius</t>
  </si>
  <si>
    <t>AUDIO</t>
  </si>
  <si>
    <t>$0.02018</t>
  </si>
  <si>
    <t>$28,613,696</t>
  </si>
  <si>
    <t>$8,979,297</t>
  </si>
  <si>
    <t>1.41B</t>
  </si>
  <si>
    <t>IQ</t>
  </si>
  <si>
    <t>$0.001099</t>
  </si>
  <si>
    <t>$28,562,726</t>
  </si>
  <si>
    <t>$1,218,304</t>
  </si>
  <si>
    <t>25.97B</t>
  </si>
  <si>
    <t>Infinity Ground</t>
  </si>
  <si>
    <t>AIN</t>
  </si>
  <si>
    <t>$0.09474</t>
  </si>
  <si>
    <t>$28,515,048</t>
  </si>
  <si>
    <t>$2,590,881</t>
  </si>
  <si>
    <t>300.96M</t>
  </si>
  <si>
    <t>Uquid Coin</t>
  </si>
  <si>
    <t>UQC</t>
  </si>
  <si>
    <t>$2.83</t>
  </si>
  <si>
    <t>$28,315,966</t>
  </si>
  <si>
    <t>$25,499</t>
  </si>
  <si>
    <t>10M</t>
  </si>
  <si>
    <t>LCX</t>
  </si>
  <si>
    <t>$0.02955</t>
  </si>
  <si>
    <t>$28,055,991</t>
  </si>
  <si>
    <t>$147,271</t>
  </si>
  <si>
    <t>949.22M</t>
  </si>
  <si>
    <t>Chainbase</t>
  </si>
  <si>
    <t>C</t>
  </si>
  <si>
    <t>$0.08195</t>
  </si>
  <si>
    <t>$27,886,592</t>
  </si>
  <si>
    <t>$8,989,160</t>
  </si>
  <si>
    <t>340.28M</t>
  </si>
  <si>
    <t>Phala Network</t>
  </si>
  <si>
    <t>PHA</t>
  </si>
  <si>
    <t>$0.03327</t>
  </si>
  <si>
    <t>$27,886,187</t>
  </si>
  <si>
    <t>$8,565,240</t>
  </si>
  <si>
    <t>837.99M</t>
  </si>
  <si>
    <t>UNS TOKEN</t>
  </si>
  <si>
    <t>UNS</t>
  </si>
  <si>
    <t>$0.2638</t>
  </si>
  <si>
    <t>$27,868,195</t>
  </si>
  <si>
    <t>$1,779</t>
  </si>
  <si>
    <t>105.6M</t>
  </si>
  <si>
    <t>USDB</t>
  </si>
  <si>
    <t>$22,360,485</t>
  </si>
  <si>
    <t>$1,822</t>
  </si>
  <si>
    <t>22.29M</t>
  </si>
  <si>
    <t>Tether Gold Tokens</t>
  </si>
  <si>
    <t>XAUT0</t>
  </si>
  <si>
    <t>$4,549.22</t>
  </si>
  <si>
    <t>$22,334,334</t>
  </si>
  <si>
    <t>$350,708</t>
  </si>
  <si>
    <t>4.9K</t>
  </si>
  <si>
    <t>Anoma</t>
  </si>
  <si>
    <t>XAN</t>
  </si>
  <si>
    <t>$0.008894</t>
  </si>
  <si>
    <t>$22,236,847</t>
  </si>
  <si>
    <t>$8,451,143</t>
  </si>
  <si>
    <t>Katana</t>
  </si>
  <si>
    <t>KAT</t>
  </si>
  <si>
    <t>$0.009475</t>
  </si>
  <si>
    <t>$22,191,489</t>
  </si>
  <si>
    <t>$28,738,721</t>
  </si>
  <si>
    <t>2.34B</t>
  </si>
  <si>
    <t>Boundless</t>
  </si>
  <si>
    <t>ZKC</t>
  </si>
  <si>
    <t>$0.07609</t>
  </si>
  <si>
    <t>$22,116,898</t>
  </si>
  <si>
    <t>$7,224,072</t>
  </si>
  <si>
    <t>290.64M</t>
  </si>
  <si>
    <t>AI Companions</t>
  </si>
  <si>
    <t>AIC</t>
  </si>
  <si>
    <t>$0.02933</t>
  </si>
  <si>
    <t>$22,001,283</t>
  </si>
  <si>
    <t>$2,012,693</t>
  </si>
  <si>
    <t>749.99M</t>
  </si>
  <si>
    <t>Hippo Protocol</t>
  </si>
  <si>
    <t>HP</t>
  </si>
  <si>
    <t>$0.01620</t>
  </si>
  <si>
    <t>$21,953,608</t>
  </si>
  <si>
    <t>$171,678</t>
  </si>
  <si>
    <t>1.35B</t>
  </si>
  <si>
    <t>HarryPotterObamaSonic10Inu (ERC-20)</t>
  </si>
  <si>
    <t>BITCOIN</t>
  </si>
  <si>
    <t>$0.02193</t>
  </si>
  <si>
    <t>$21,930,599</t>
  </si>
  <si>
    <t>$4,072,583</t>
  </si>
  <si>
    <t>999.79M</t>
  </si>
  <si>
    <t>Unitas</t>
  </si>
  <si>
    <t>UP</t>
  </si>
  <si>
    <t>$0.1498</t>
  </si>
  <si>
    <t>$21,878,494</t>
  </si>
  <si>
    <t>$1,243,931</t>
  </si>
  <si>
    <t>146M</t>
  </si>
  <si>
    <t>SynFutures</t>
  </si>
  <si>
    <t>F</t>
  </si>
  <si>
    <t>$0.005581</t>
  </si>
  <si>
    <t>$21,730,464</t>
  </si>
  <si>
    <t>$12,094,961</t>
  </si>
  <si>
    <t>3.89B</t>
  </si>
  <si>
    <t>tx</t>
  </si>
  <si>
    <t>TX</t>
  </si>
  <si>
    <t>$0.008738</t>
  </si>
  <si>
    <t>$21,691,383</t>
  </si>
  <si>
    <t>$118,940</t>
  </si>
  <si>
    <t>2.48B</t>
  </si>
  <si>
    <t>Celer Network</t>
  </si>
  <si>
    <t>CELR</t>
  </si>
  <si>
    <t>$0.002777</t>
  </si>
  <si>
    <t>$21,670,440</t>
  </si>
  <si>
    <t>$4,183,657</t>
  </si>
  <si>
    <t>7.8B</t>
  </si>
  <si>
    <t>Treasure</t>
  </si>
  <si>
    <t>MAGIC</t>
  </si>
  <si>
    <t>$0.06603</t>
  </si>
  <si>
    <t>$21,662,370</t>
  </si>
  <si>
    <t>$5,337,772</t>
  </si>
  <si>
    <t>328.03M</t>
  </si>
  <si>
    <t>FLock.io</t>
  </si>
  <si>
    <t>FLOCK</t>
  </si>
  <si>
    <t>$0.05978</t>
  </si>
  <si>
    <t>$21,591,583</t>
  </si>
  <si>
    <t>$3,442,353</t>
  </si>
  <si>
    <t>361.14M</t>
  </si>
  <si>
    <t>Verified Emeralds</t>
  </si>
  <si>
    <t>VEREM</t>
  </si>
  <si>
    <t>$6.81</t>
  </si>
  <si>
    <t>$17,027,990</t>
  </si>
  <si>
    <t>$169,029</t>
  </si>
  <si>
    <t>2.5M</t>
  </si>
  <si>
    <t>Codatta</t>
  </si>
  <si>
    <t>XNY</t>
  </si>
  <si>
    <t>$0.006797</t>
  </si>
  <si>
    <t>$16,992,885</t>
  </si>
  <si>
    <t>$16,268,438</t>
  </si>
  <si>
    <t>HeyElsa</t>
  </si>
  <si>
    <t>ELSA</t>
  </si>
  <si>
    <t>$0.07379</t>
  </si>
  <si>
    <t>$16,898,033</t>
  </si>
  <si>
    <t>$4,954,639</t>
  </si>
  <si>
    <t>228.98M</t>
  </si>
  <si>
    <t>B3 (Base)</t>
  </si>
  <si>
    <t>B3</t>
  </si>
  <si>
    <t>$0.0003635</t>
  </si>
  <si>
    <t>$16,882,309</t>
  </si>
  <si>
    <t>$15,285,861</t>
  </si>
  <si>
    <t>46.43B</t>
  </si>
  <si>
    <t>Nosana</t>
  </si>
  <si>
    <t>NOS</t>
  </si>
  <si>
    <t>$0.2355</t>
  </si>
  <si>
    <t>$16,789,468</t>
  </si>
  <si>
    <t>$240,379</t>
  </si>
  <si>
    <t>71.28M</t>
  </si>
  <si>
    <t>Torch of Liberty</t>
  </si>
  <si>
    <t>LIBERTY</t>
  </si>
  <si>
    <t>$0.01651</t>
  </si>
  <si>
    <t>$16,518,027</t>
  </si>
  <si>
    <t>$219,281</t>
  </si>
  <si>
    <t>Banana Gun</t>
  </si>
  <si>
    <t>BANANA</t>
  </si>
  <si>
    <t>$4.10</t>
  </si>
  <si>
    <t>$16,444,782</t>
  </si>
  <si>
    <t>$17,540,243</t>
  </si>
  <si>
    <t>4M</t>
  </si>
  <si>
    <t>Folks Finance</t>
  </si>
  <si>
    <t>FOLKS</t>
  </si>
  <si>
    <t>$1.34</t>
  </si>
  <si>
    <t>$16,435,362</t>
  </si>
  <si>
    <t>$2,577,378</t>
  </si>
  <si>
    <t>12.19M</t>
  </si>
  <si>
    <t>DORA</t>
  </si>
  <si>
    <t>$0.01657</t>
  </si>
  <si>
    <t>$16,409,662</t>
  </si>
  <si>
    <t>$45,011</t>
  </si>
  <si>
    <t>990.08M</t>
  </si>
  <si>
    <t>Firo</t>
  </si>
  <si>
    <t>FIRO</t>
  </si>
  <si>
    <t>$0.8832</t>
  </si>
  <si>
    <t>$16,384,951</t>
  </si>
  <si>
    <t>$352,268</t>
  </si>
  <si>
    <t>18.55M</t>
  </si>
  <si>
    <t>SmarDex</t>
  </si>
  <si>
    <t>SDEX</t>
  </si>
  <si>
    <t>$0.001672</t>
  </si>
  <si>
    <t>$16,382,832</t>
  </si>
  <si>
    <t>$458,388</t>
  </si>
  <si>
    <t>9.79B</t>
  </si>
  <si>
    <t>PAAL AI</t>
  </si>
  <si>
    <t>PAAL</t>
  </si>
  <si>
    <t>$0.01303</t>
  </si>
  <si>
    <t>$13,016,968</t>
  </si>
  <si>
    <t>$1,674,459</t>
  </si>
  <si>
    <t>998.83M</t>
  </si>
  <si>
    <t>Gains Network</t>
  </si>
  <si>
    <t>GNS</t>
  </si>
  <si>
    <t>$0.5402</t>
  </si>
  <si>
    <t>$12,972,112</t>
  </si>
  <si>
    <t>$1,631,522</t>
  </si>
  <si>
    <t>24.01M</t>
  </si>
  <si>
    <t>Metaplex</t>
  </si>
  <si>
    <t>MPLX</t>
  </si>
  <si>
    <t>$0.02508</t>
  </si>
  <si>
    <t>$12,936,920</t>
  </si>
  <si>
    <t>$504,625</t>
  </si>
  <si>
    <t>515.73M</t>
  </si>
  <si>
    <t>BENQI</t>
  </si>
  <si>
    <t>QI</t>
  </si>
  <si>
    <t>$0.001772</t>
  </si>
  <si>
    <t>$12,762,794</t>
  </si>
  <si>
    <t>$1,014,807</t>
  </si>
  <si>
    <t>7.2B</t>
  </si>
  <si>
    <t>IXS</t>
  </si>
  <si>
    <t>$0.07085</t>
  </si>
  <si>
    <t>$12,753,001</t>
  </si>
  <si>
    <t>$64,060</t>
  </si>
  <si>
    <t>180M</t>
  </si>
  <si>
    <t>BOB (Build on Bitcoin)</t>
  </si>
  <si>
    <t>BOB</t>
  </si>
  <si>
    <t>$0.005723</t>
  </si>
  <si>
    <t>$12,706,172</t>
  </si>
  <si>
    <t>$6,846,074</t>
  </si>
  <si>
    <t>2.22B</t>
  </si>
  <si>
    <t>OpenVPP</t>
  </si>
  <si>
    <t>OVPP</t>
  </si>
  <si>
    <t>$0.01578</t>
  </si>
  <si>
    <t>$12,705,874</t>
  </si>
  <si>
    <t>$1,443,682</t>
  </si>
  <si>
    <t>805M</t>
  </si>
  <si>
    <t>Make Aliens Great Again</t>
  </si>
  <si>
    <t>MAGA</t>
  </si>
  <si>
    <t>$0.01302</t>
  </si>
  <si>
    <t>$12,739,694</t>
  </si>
  <si>
    <t>$4,292,556</t>
  </si>
  <si>
    <t>978.22M</t>
  </si>
  <si>
    <t>Vulcan Forged (PYR)</t>
  </si>
  <si>
    <t>PYR</t>
  </si>
  <si>
    <t>$0.2735</t>
  </si>
  <si>
    <t>$12,595,161</t>
  </si>
  <si>
    <t>$3,376,620</t>
  </si>
  <si>
    <t>46.03M</t>
  </si>
  <si>
    <t>Vanar Chain</t>
  </si>
  <si>
    <t>VANRY</t>
  </si>
  <si>
    <t>$0.005299</t>
  </si>
  <si>
    <t>$12,567,258</t>
  </si>
  <si>
    <t>$1,521,346</t>
  </si>
  <si>
    <t>2.37B</t>
  </si>
  <si>
    <t>Destra Network</t>
  </si>
  <si>
    <t>DSYNC</t>
  </si>
  <si>
    <t>$0.01287</t>
  </si>
  <si>
    <t>$12,556,319</t>
  </si>
  <si>
    <t>$2,832,253</t>
  </si>
  <si>
    <t>974.94M</t>
  </si>
  <si>
    <t>Boba Network</t>
  </si>
  <si>
    <t>BOBA</t>
  </si>
  <si>
    <t>$0.02547</t>
  </si>
  <si>
    <t>$12,573,335</t>
  </si>
  <si>
    <t>$6,196,914</t>
  </si>
  <si>
    <t>493.58M</t>
  </si>
  <si>
    <t>ColossusXT</t>
  </si>
  <si>
    <t>COLX</t>
  </si>
  <si>
    <t>$0.0009845</t>
  </si>
  <si>
    <t>$12,536,278</t>
  </si>
  <si>
    <t>12.73B</t>
  </si>
  <si>
    <t>Intuition</t>
  </si>
  <si>
    <t>TRUST</t>
  </si>
  <si>
    <t>$0.06922</t>
  </si>
  <si>
    <t>$12,435,790</t>
  </si>
  <si>
    <t>$1,719,441</t>
  </si>
  <si>
    <t>179.64M</t>
  </si>
  <si>
    <t>Gleec Coin</t>
  </si>
  <si>
    <t>GLEEC</t>
  </si>
  <si>
    <t>$0.05529</t>
  </si>
  <si>
    <t>$10,049,383</t>
  </si>
  <si>
    <t>$1,492</t>
  </si>
  <si>
    <t>181.75M</t>
  </si>
  <si>
    <t>DAR Open Network</t>
  </si>
  <si>
    <t>D</t>
  </si>
  <si>
    <t>$0.01348</t>
  </si>
  <si>
    <t>$10,029,328</t>
  </si>
  <si>
    <t>$25,387,118</t>
  </si>
  <si>
    <t>743.51M</t>
  </si>
  <si>
    <t>Brickken</t>
  </si>
  <si>
    <t>BKN</t>
  </si>
  <si>
    <t>$0.1243</t>
  </si>
  <si>
    <t>$10,027,388</t>
  </si>
  <si>
    <t>$206,188</t>
  </si>
  <si>
    <t>80.65M</t>
  </si>
  <si>
    <t>Puffer</t>
  </si>
  <si>
    <t>PUFFER</t>
  </si>
  <si>
    <t>$0.02285</t>
  </si>
  <si>
    <t>$10,015,365</t>
  </si>
  <si>
    <t>$5,420,695</t>
  </si>
  <si>
    <t>438.27M</t>
  </si>
  <si>
    <t>Enzyme</t>
  </si>
  <si>
    <t>MLN</t>
  </si>
  <si>
    <t>$3.04</t>
  </si>
  <si>
    <t>$9,989,273</t>
  </si>
  <si>
    <t>$2,308,942</t>
  </si>
  <si>
    <t>3.27M</t>
  </si>
  <si>
    <t>APX</t>
  </si>
  <si>
    <t>$0.2255</t>
  </si>
  <si>
    <t>$9,962,766</t>
  </si>
  <si>
    <t>$247</t>
  </si>
  <si>
    <t>44.16M</t>
  </si>
  <si>
    <t>ANyONe Protocol</t>
  </si>
  <si>
    <t>ANYONE</t>
  </si>
  <si>
    <t>$0.1021</t>
  </si>
  <si>
    <t>$9,959,867</t>
  </si>
  <si>
    <t>$207,492</t>
  </si>
  <si>
    <t>97.49M</t>
  </si>
  <si>
    <t>XION</t>
  </si>
  <si>
    <t>$0.1370</t>
  </si>
  <si>
    <t>$9,940,644</t>
  </si>
  <si>
    <t>$5,626,294</t>
  </si>
  <si>
    <t>72.53M</t>
  </si>
  <si>
    <t>IAGON</t>
  </si>
  <si>
    <t>IAG</t>
  </si>
  <si>
    <t>$0.02628</t>
  </si>
  <si>
    <t>$9,883,568</t>
  </si>
  <si>
    <t>$18,345,936</t>
  </si>
  <si>
    <t>376.02M</t>
  </si>
  <si>
    <t>Freedom Dollar</t>
  </si>
  <si>
    <t>FUSD</t>
  </si>
  <si>
    <t>$9,800,517</t>
  </si>
  <si>
    <t>$166,324</t>
  </si>
  <si>
    <t>9.8M</t>
  </si>
  <si>
    <t>Kishu Inu</t>
  </si>
  <si>
    <t>KISHU</t>
  </si>
  <si>
    <t>$0.091050</t>
  </si>
  <si>
    <t>$9,781,139</t>
  </si>
  <si>
    <t>$225,179</t>
  </si>
  <si>
    <t>93.13P</t>
  </si>
  <si>
    <t>Automata Network</t>
  </si>
  <si>
    <t>ATA</t>
  </si>
  <si>
    <t>$0.01031</t>
  </si>
  <si>
    <t>$9,763,941</t>
  </si>
  <si>
    <t>$1,426,829</t>
  </si>
  <si>
    <t>946.59M</t>
  </si>
  <si>
    <t>DeBox</t>
  </si>
  <si>
    <t>BOX</t>
  </si>
  <si>
    <t>$0.01920</t>
  </si>
  <si>
    <t>$9,758,424</t>
  </si>
  <si>
    <t>$18,325</t>
  </si>
  <si>
    <t>508.21M</t>
  </si>
  <si>
    <t>DeAgentAI</t>
  </si>
  <si>
    <t>AIA</t>
  </si>
  <si>
    <t>$0.05130</t>
  </si>
  <si>
    <t>$9,693,432</t>
  </si>
  <si>
    <t>$4,254,486</t>
  </si>
  <si>
    <t>188.95M</t>
  </si>
  <si>
    <t>Bitlayer</t>
  </si>
  <si>
    <t>BTR</t>
  </si>
  <si>
    <t>$0.02890</t>
  </si>
  <si>
    <t>$9,632,912</t>
  </si>
  <si>
    <t>$3,432,304</t>
  </si>
  <si>
    <t>333.28M</t>
  </si>
  <si>
    <t>AKEDO</t>
  </si>
  <si>
    <t>AKE</t>
  </si>
  <si>
    <t>$0.0003343</t>
  </si>
  <si>
    <t>$7,622,156</t>
  </si>
  <si>
    <t>$1,000,628</t>
  </si>
  <si>
    <t>22.79B</t>
  </si>
  <si>
    <t>OVERTAKE</t>
  </si>
  <si>
    <t>TAKE</t>
  </si>
  <si>
    <t>$0.02822</t>
  </si>
  <si>
    <t>$7,606,709</t>
  </si>
  <si>
    <t>$975,171</t>
  </si>
  <si>
    <t>269.48M</t>
  </si>
  <si>
    <t>Klever Coin</t>
  </si>
  <si>
    <t>KLV</t>
  </si>
  <si>
    <t>$0.0008480</t>
  </si>
  <si>
    <t>$7,531,508</t>
  </si>
  <si>
    <t>$189,566</t>
  </si>
  <si>
    <t>8.88B</t>
  </si>
  <si>
    <t>NFPrompt</t>
  </si>
  <si>
    <t>NFP</t>
  </si>
  <si>
    <t>$7,501,703</t>
  </si>
  <si>
    <t>$4,979,361</t>
  </si>
  <si>
    <t>576.13M</t>
  </si>
  <si>
    <t>Divi</t>
  </si>
  <si>
    <t>DIVI</t>
  </si>
  <si>
    <t>$0.001614</t>
  </si>
  <si>
    <t>$7,499,997</t>
  </si>
  <si>
    <t>4.64B</t>
  </si>
  <si>
    <t>Heima</t>
  </si>
  <si>
    <t>HEI</t>
  </si>
  <si>
    <t>$0.08509</t>
  </si>
  <si>
    <t>$7,490,664</t>
  </si>
  <si>
    <t>$2,005,182</t>
  </si>
  <si>
    <t>88.02M</t>
  </si>
  <si>
    <t>Juventus Fan Token</t>
  </si>
  <si>
    <t>JUV</t>
  </si>
  <si>
    <t>$0.4898</t>
  </si>
  <si>
    <t>$7,453,837</t>
  </si>
  <si>
    <t>$2,792,207</t>
  </si>
  <si>
    <t>15.21M</t>
  </si>
  <si>
    <t>Yee Token</t>
  </si>
  <si>
    <t>YEE</t>
  </si>
  <si>
    <t>$0.007442</t>
  </si>
  <si>
    <t>$7,442,214</t>
  </si>
  <si>
    <t>$1,311,385</t>
  </si>
  <si>
    <t>SaitaChain Coin</t>
  </si>
  <si>
    <t>STC</t>
  </si>
  <si>
    <t>$0.0001662</t>
  </si>
  <si>
    <t>$7,430,120</t>
  </si>
  <si>
    <t>$59,825</t>
  </si>
  <si>
    <t>44.7B</t>
  </si>
  <si>
    <t>Minima</t>
  </si>
  <si>
    <t>MINIMA</t>
  </si>
  <si>
    <t>$0.01340</t>
  </si>
  <si>
    <t>$7,415,834</t>
  </si>
  <si>
    <t>$127,333</t>
  </si>
  <si>
    <t>553.36M</t>
  </si>
  <si>
    <t>Manchester City Fan Token</t>
  </si>
  <si>
    <t>CITY</t>
  </si>
  <si>
    <t>$0.5605</t>
  </si>
  <si>
    <t>$7,387,552</t>
  </si>
  <si>
    <t>$4,572,811</t>
  </si>
  <si>
    <t>13.17M</t>
  </si>
  <si>
    <t>Neon EVM</t>
  </si>
  <si>
    <t>NEON</t>
  </si>
  <si>
    <t>$0.03084</t>
  </si>
  <si>
    <t>$7,385,349</t>
  </si>
  <si>
    <t>$663,168</t>
  </si>
  <si>
    <t>239.46M</t>
  </si>
  <si>
    <t>RACA</t>
  </si>
  <si>
    <t>$0.00001790</t>
  </si>
  <si>
    <t>$7,370,851</t>
  </si>
  <si>
    <t>$1,583,320</t>
  </si>
  <si>
    <t>411.67B</t>
  </si>
  <si>
    <t>PIVX</t>
  </si>
  <si>
    <t>$0.07164</t>
  </si>
  <si>
    <t>$7,356,492</t>
  </si>
  <si>
    <t>$3,015,870</t>
  </si>
  <si>
    <t>102.68M</t>
  </si>
  <si>
    <t>Graphite Protocol</t>
  </si>
  <si>
    <t>GP</t>
  </si>
  <si>
    <t>$0.1660</t>
  </si>
  <si>
    <t>$5,777,203</t>
  </si>
  <si>
    <t>$407,424</t>
  </si>
  <si>
    <t>34.79M</t>
  </si>
  <si>
    <t>MESSIER</t>
  </si>
  <si>
    <t>M87</t>
  </si>
  <si>
    <t>$0.056523</t>
  </si>
  <si>
    <t>$5,771,980</t>
  </si>
  <si>
    <t>$274,469</t>
  </si>
  <si>
    <t>884.84B</t>
  </si>
  <si>
    <t>Ambire Wallet</t>
  </si>
  <si>
    <t>WALLET</t>
  </si>
  <si>
    <t>$0.008348</t>
  </si>
  <si>
    <t>$5,766,691</t>
  </si>
  <si>
    <t>$11,932</t>
  </si>
  <si>
    <t>690.75M</t>
  </si>
  <si>
    <t>Sperax</t>
  </si>
  <si>
    <t>SPA</t>
  </si>
  <si>
    <t>$0.002813</t>
  </si>
  <si>
    <t>$5,761,661</t>
  </si>
  <si>
    <t>$1,787,147</t>
  </si>
  <si>
    <t>2.04B</t>
  </si>
  <si>
    <t>Suilend</t>
  </si>
  <si>
    <t>SEND</t>
  </si>
  <si>
    <t>$0.08424</t>
  </si>
  <si>
    <t>$5,753,639</t>
  </si>
  <si>
    <t>$108,666</t>
  </si>
  <si>
    <t>68.3M</t>
  </si>
  <si>
    <t>Epic Private Internet Cash</t>
  </si>
  <si>
    <t>EPIC</t>
  </si>
  <si>
    <t>$0.3318</t>
  </si>
  <si>
    <t>$5,733,753</t>
  </si>
  <si>
    <t>$4,543</t>
  </si>
  <si>
    <t>17.27M</t>
  </si>
  <si>
    <t>SCOR</t>
  </si>
  <si>
    <t>$0.01725</t>
  </si>
  <si>
    <t>$5,682,023</t>
  </si>
  <si>
    <t>$288,951</t>
  </si>
  <si>
    <t>329.38M</t>
  </si>
  <si>
    <t>Creta World</t>
  </si>
  <si>
    <t>CRETA</t>
  </si>
  <si>
    <t>$0.002014</t>
  </si>
  <si>
    <t>$5,659,011</t>
  </si>
  <si>
    <t>$100,203</t>
  </si>
  <si>
    <t>2.8B</t>
  </si>
  <si>
    <t>Cross The Ages</t>
  </si>
  <si>
    <t>CTA</t>
  </si>
  <si>
    <t>$0.01129</t>
  </si>
  <si>
    <t>$5,646,848</t>
  </si>
  <si>
    <t>$571,373</t>
  </si>
  <si>
    <t>500M</t>
  </si>
  <si>
    <t>RealFi</t>
  </si>
  <si>
    <t>REAL</t>
  </si>
  <si>
    <t>$0.008506</t>
  </si>
  <si>
    <t>$5,643,737</t>
  </si>
  <si>
    <t>$93,060</t>
  </si>
  <si>
    <t>663.49M</t>
  </si>
  <si>
    <t>AC Milan Fan Token</t>
  </si>
  <si>
    <t>ACM</t>
  </si>
  <si>
    <t>$0.4250</t>
  </si>
  <si>
    <t>$5,620,978</t>
  </si>
  <si>
    <t>$2,299,164</t>
  </si>
  <si>
    <t>13.22M</t>
  </si>
  <si>
    <t>Utrust</t>
  </si>
  <si>
    <t>UTK</t>
  </si>
  <si>
    <t>$0.007948</t>
  </si>
  <si>
    <t>$5,596,291</t>
  </si>
  <si>
    <t>$5,108,168</t>
  </si>
  <si>
    <t>704.06M</t>
  </si>
  <si>
    <t>375ai</t>
  </si>
  <si>
    <t>EAT</t>
  </si>
  <si>
    <t>$0.02622</t>
  </si>
  <si>
    <t>$5,589,547</t>
  </si>
  <si>
    <t>$439,672</t>
  </si>
  <si>
    <t>213.14M</t>
  </si>
  <si>
    <t>Diamond</t>
  </si>
  <si>
    <t>DMD</t>
  </si>
  <si>
    <t>$1.50</t>
  </si>
  <si>
    <t>$5,570,378</t>
  </si>
  <si>
    <t>$43,131</t>
  </si>
  <si>
    <t>3.68M</t>
  </si>
  <si>
    <t>Not Pixel</t>
  </si>
  <si>
    <t>PX</t>
  </si>
  <si>
    <t>$0.02241</t>
  </si>
  <si>
    <t>$4,380,039</t>
  </si>
  <si>
    <t>$91,581</t>
  </si>
  <si>
    <t>195.42M</t>
  </si>
  <si>
    <t>Wojak (wojakmeme.fun)</t>
  </si>
  <si>
    <t>WOJAK</t>
  </si>
  <si>
    <t>$0.004328</t>
  </si>
  <si>
    <t>$4,328,225</t>
  </si>
  <si>
    <t>$836,876</t>
  </si>
  <si>
    <t>999.95M</t>
  </si>
  <si>
    <t>CLV</t>
  </si>
  <si>
    <t>$0.003509</t>
  </si>
  <si>
    <t>$4,296,555</t>
  </si>
  <si>
    <t>$1,384,270</t>
  </si>
  <si>
    <t>1.22B</t>
  </si>
  <si>
    <t>Nodle</t>
  </si>
  <si>
    <t>NODL</t>
  </si>
  <si>
    <t>$0.0006789</t>
  </si>
  <si>
    <t>$4,354,066</t>
  </si>
  <si>
    <t>$76,258</t>
  </si>
  <si>
    <t>6.41B</t>
  </si>
  <si>
    <t>Roam</t>
  </si>
  <si>
    <t>ROAM</t>
  </si>
  <si>
    <t>$0.01233</t>
  </si>
  <si>
    <t>$4,287,822</t>
  </si>
  <si>
    <t>$957,517</t>
  </si>
  <si>
    <t>347.48M</t>
  </si>
  <si>
    <t>Bitrue Coin</t>
  </si>
  <si>
    <t>$0.01188</t>
  </si>
  <si>
    <t>$4,257,072</t>
  </si>
  <si>
    <t>$400,525</t>
  </si>
  <si>
    <t>358.14M</t>
  </si>
  <si>
    <t>Sentio</t>
  </si>
  <si>
    <t>ST</t>
  </si>
  <si>
    <t>$0.07590</t>
  </si>
  <si>
    <t>$4,250,788</t>
  </si>
  <si>
    <t>$196,774,617</t>
  </si>
  <si>
    <t>56M</t>
  </si>
  <si>
    <t>Suku</t>
  </si>
  <si>
    <t>SUKU</t>
  </si>
  <si>
    <t>$0.007097</t>
  </si>
  <si>
    <t>$4,248,114</t>
  </si>
  <si>
    <t>$88,184</t>
  </si>
  <si>
    <t>598.54M</t>
  </si>
  <si>
    <t>FUNToken</t>
  </si>
  <si>
    <t>FUN</t>
  </si>
  <si>
    <t>$0.0003925</t>
  </si>
  <si>
    <t>$4,242,300</t>
  </si>
  <si>
    <t>$4,868,999</t>
  </si>
  <si>
    <t>10.8B</t>
  </si>
  <si>
    <t>PussFi</t>
  </si>
  <si>
    <t>PUSS</t>
  </si>
  <si>
    <t>$0.004824</t>
  </si>
  <si>
    <t>$4,239,610</t>
  </si>
  <si>
    <t>$961,602</t>
  </si>
  <si>
    <t>878.82M</t>
  </si>
  <si>
    <t>Aleph Cloud</t>
  </si>
  <si>
    <t>ALEPH</t>
  </si>
  <si>
    <t>$0.01714</t>
  </si>
  <si>
    <t>$4,238,819</t>
  </si>
  <si>
    <t>$171,142</t>
  </si>
  <si>
    <t>247.22M</t>
  </si>
  <si>
    <t>Zypher Network</t>
  </si>
  <si>
    <t>POP</t>
  </si>
  <si>
    <t>$0.001768</t>
  </si>
  <si>
    <t>$4,222,800</t>
  </si>
  <si>
    <t>$1,525,440</t>
  </si>
  <si>
    <t>2.38B</t>
  </si>
  <si>
    <t>RollX</t>
  </si>
  <si>
    <t>ROLL</t>
  </si>
  <si>
    <t>$0.02721</t>
  </si>
  <si>
    <t>$4,217,750</t>
  </si>
  <si>
    <t>$217,398</t>
  </si>
  <si>
    <t>155M</t>
  </si>
  <si>
    <t>SPECTRE AI</t>
  </si>
  <si>
    <t>SPECTRE</t>
  </si>
  <si>
    <t>$0.4210</t>
  </si>
  <si>
    <t>$4,208,051</t>
  </si>
  <si>
    <t>$268,933</t>
  </si>
  <si>
    <t>9.99M</t>
  </si>
  <si>
    <t>Sentinel</t>
  </si>
  <si>
    <t>P2P</t>
  </si>
  <si>
    <t>$0.00009539</t>
  </si>
  <si>
    <t>$3,273,442</t>
  </si>
  <si>
    <t>$77,548</t>
  </si>
  <si>
    <t>34.31B</t>
  </si>
  <si>
    <t>Nine Chronicles</t>
  </si>
  <si>
    <t>WNCG</t>
  </si>
  <si>
    <t>$0.005368</t>
  </si>
  <si>
    <t>$3,264,324</t>
  </si>
  <si>
    <t>$90,792</t>
  </si>
  <si>
    <t>608.08M</t>
  </si>
  <si>
    <t>BioPassport Token</t>
  </si>
  <si>
    <t>BIOT</t>
  </si>
  <si>
    <t>$0.0003689</t>
  </si>
  <si>
    <t>$3,246,931</t>
  </si>
  <si>
    <t>$60,673</t>
  </si>
  <si>
    <t>8.79B</t>
  </si>
  <si>
    <t>VNX Euro</t>
  </si>
  <si>
    <t>VEUR</t>
  </si>
  <si>
    <t>$1.17</t>
  </si>
  <si>
    <t>$3,235,574</t>
  </si>
  <si>
    <t>$6,206</t>
  </si>
  <si>
    <t>2.76M</t>
  </si>
  <si>
    <t>ROA CORE</t>
  </si>
  <si>
    <t>ROA</t>
  </si>
  <si>
    <t>$0.004396</t>
  </si>
  <si>
    <t>$3,231,631</t>
  </si>
  <si>
    <t>$22,713</t>
  </si>
  <si>
    <t>735M</t>
  </si>
  <si>
    <t>Gearbox Protocol</t>
  </si>
  <si>
    <t>GEAR</t>
  </si>
  <si>
    <t>$0.0003224</t>
  </si>
  <si>
    <t>$3,224,365</t>
  </si>
  <si>
    <t>$90</t>
  </si>
  <si>
    <t>TRUF.Network</t>
  </si>
  <si>
    <t>TRUF</t>
  </si>
  <si>
    <t>$0.006170</t>
  </si>
  <si>
    <t>$3,220,001</t>
  </si>
  <si>
    <t>$148,404</t>
  </si>
  <si>
    <t>521.85M</t>
  </si>
  <si>
    <t>Pundi AI</t>
  </si>
  <si>
    <t>PUNDIAI</t>
  </si>
  <si>
    <t>$0.4553</t>
  </si>
  <si>
    <t>$3,213,497</t>
  </si>
  <si>
    <t>$109,259</t>
  </si>
  <si>
    <t>7.05M</t>
  </si>
  <si>
    <t>Electra Protocol</t>
  </si>
  <si>
    <t>XEP</t>
  </si>
  <si>
    <t>$0.0001744</t>
  </si>
  <si>
    <t>$3,210,880</t>
  </si>
  <si>
    <t>$116,467</t>
  </si>
  <si>
    <t>18.4B</t>
  </si>
  <si>
    <t>PeiPei (ETH)</t>
  </si>
  <si>
    <t>PEIPEI</t>
  </si>
  <si>
    <t>$0.087615</t>
  </si>
  <si>
    <t>$3,203,582</t>
  </si>
  <si>
    <t>$331,042</t>
  </si>
  <si>
    <t>420.68T</t>
  </si>
  <si>
    <t>Xterio</t>
  </si>
  <si>
    <t>XTER</t>
  </si>
  <si>
    <t>$0.01616</t>
  </si>
  <si>
    <t>$3,168,914</t>
  </si>
  <si>
    <t>$3,384,846</t>
  </si>
  <si>
    <t>196.07M</t>
  </si>
  <si>
    <t>Arianee</t>
  </si>
  <si>
    <t>ARIA20</t>
  </si>
  <si>
    <t>$0.02946</t>
  </si>
  <si>
    <t>$3,167,872</t>
  </si>
  <si>
    <t>107.52M</t>
  </si>
  <si>
    <t>CreatorBid</t>
  </si>
  <si>
    <t>BID</t>
  </si>
  <si>
    <t>$0.008153</t>
  </si>
  <si>
    <t>$3,142,220</t>
  </si>
  <si>
    <t>$189,339</t>
  </si>
  <si>
    <t>385.37M</t>
  </si>
  <si>
    <t>World of Dypians</t>
  </si>
  <si>
    <t>WOD</t>
  </si>
  <si>
    <t>$0.006354</t>
  </si>
  <si>
    <t>$3,142,839</t>
  </si>
  <si>
    <t>$549,476</t>
  </si>
  <si>
    <t>494.59M</t>
  </si>
  <si>
    <t>Scallop</t>
  </si>
  <si>
    <t>SCA</t>
  </si>
  <si>
    <t>$0.01664</t>
  </si>
  <si>
    <t>$2,591,703</t>
  </si>
  <si>
    <t>$1,053,142</t>
  </si>
  <si>
    <t>155.69M</t>
  </si>
  <si>
    <t>LOL (lolonsol)</t>
  </si>
  <si>
    <t>LOL</t>
  </si>
  <si>
    <t>$0.002620</t>
  </si>
  <si>
    <t>$2,600,548</t>
  </si>
  <si>
    <t>$1,628,387</t>
  </si>
  <si>
    <t>992.24M</t>
  </si>
  <si>
    <t>Nietzschean Penguin</t>
  </si>
  <si>
    <t>PENGUIN</t>
  </si>
  <si>
    <t>$0.002572</t>
  </si>
  <si>
    <t>$2,572,838</t>
  </si>
  <si>
    <t>$3,482,250</t>
  </si>
  <si>
    <t>999.93M</t>
  </si>
  <si>
    <t>Mayflower AI</t>
  </si>
  <si>
    <t>MAY</t>
  </si>
  <si>
    <t>$0.005935</t>
  </si>
  <si>
    <t>$2,572,273</t>
  </si>
  <si>
    <t>$3,294,327</t>
  </si>
  <si>
    <t>433.34M</t>
  </si>
  <si>
    <t>Decentrawood</t>
  </si>
  <si>
    <t>DEOD</t>
  </si>
  <si>
    <t>$0.005536</t>
  </si>
  <si>
    <t>$2,571,138</t>
  </si>
  <si>
    <t>$346,533</t>
  </si>
  <si>
    <t>464.39M</t>
  </si>
  <si>
    <t>Pluton</t>
  </si>
  <si>
    <t>PLU</t>
  </si>
  <si>
    <t>$0.1507</t>
  </si>
  <si>
    <t>$2,563,202</t>
  </si>
  <si>
    <t>$22,121</t>
  </si>
  <si>
    <t>16.99M</t>
  </si>
  <si>
    <t>Aragon</t>
  </si>
  <si>
    <t>ANT</t>
  </si>
  <si>
    <t>$0.05927</t>
  </si>
  <si>
    <t>$2,560,167</t>
  </si>
  <si>
    <t>43.19M</t>
  </si>
  <si>
    <t>Measurable Data Token</t>
  </si>
  <si>
    <t>MDT</t>
  </si>
  <si>
    <t>$0.003783</t>
  </si>
  <si>
    <t>$2,557,902</t>
  </si>
  <si>
    <t>$384,052</t>
  </si>
  <si>
    <t>676.15M</t>
  </si>
  <si>
    <t>Tether EURt</t>
  </si>
  <si>
    <t>EURt</t>
  </si>
  <si>
    <t>$0.07028</t>
  </si>
  <si>
    <t>$2,557,322</t>
  </si>
  <si>
    <t>36.38M</t>
  </si>
  <si>
    <t>Coinweb</t>
  </si>
  <si>
    <t>CWEB</t>
  </si>
  <si>
    <t>$0.001038</t>
  </si>
  <si>
    <t>$2,551,273</t>
  </si>
  <si>
    <t>$105,796</t>
  </si>
  <si>
    <t>2.45B</t>
  </si>
  <si>
    <t>SHIBA INU</t>
  </si>
  <si>
    <t>SHIB</t>
  </si>
  <si>
    <t>$0.083784</t>
  </si>
  <si>
    <t>$2,550,909</t>
  </si>
  <si>
    <t>$2,615</t>
  </si>
  <si>
    <t>674.07T</t>
  </si>
  <si>
    <t>r/CryptoCurrency Moons</t>
  </si>
  <si>
    <t>MOON</t>
  </si>
  <si>
    <t>$0.02387</t>
  </si>
  <si>
    <t>$2,548,956</t>
  </si>
  <si>
    <t>$1,244</t>
  </si>
  <si>
    <t>106.77M</t>
  </si>
  <si>
    <t>Particl</t>
  </si>
  <si>
    <t>PART</t>
  </si>
  <si>
    <t>$0.1374</t>
  </si>
  <si>
    <t>$2,149,050</t>
  </si>
  <si>
    <t>$53,706</t>
  </si>
  <si>
    <t>15.63M</t>
  </si>
  <si>
    <t>KYVE Network</t>
  </si>
  <si>
    <t>KYVE</t>
  </si>
  <si>
    <t>$0.001807</t>
  </si>
  <si>
    <t>$2,138,044</t>
  </si>
  <si>
    <t>$3,415</t>
  </si>
  <si>
    <t>1.18B</t>
  </si>
  <si>
    <t>Project WITH</t>
  </si>
  <si>
    <t>WIKEN</t>
  </si>
  <si>
    <t>$0.002015</t>
  </si>
  <si>
    <t>$2,131,950</t>
  </si>
  <si>
    <t>$98,794</t>
  </si>
  <si>
    <t>1.05B</t>
  </si>
  <si>
    <t>Pirate Nation</t>
  </si>
  <si>
    <t>PIRATE</t>
  </si>
  <si>
    <t>$0.003979</t>
  </si>
  <si>
    <t>$2,129,931</t>
  </si>
  <si>
    <t>$498,106</t>
  </si>
  <si>
    <t>535.21M</t>
  </si>
  <si>
    <t>Nexera</t>
  </si>
  <si>
    <t>NXRA</t>
  </si>
  <si>
    <t>$0.002029</t>
  </si>
  <si>
    <t>$2,123,077</t>
  </si>
  <si>
    <t>$19,440</t>
  </si>
  <si>
    <t>1.04B</t>
  </si>
  <si>
    <t>SHPING</t>
  </si>
  <si>
    <t>$0.0009282</t>
  </si>
  <si>
    <t>$2,122,698</t>
  </si>
  <si>
    <t>$197,032</t>
  </si>
  <si>
    <t>2.28B</t>
  </si>
  <si>
    <t>Games for a Living</t>
  </si>
  <si>
    <t>GFAL</t>
  </si>
  <si>
    <t>$0.0005315</t>
  </si>
  <si>
    <t>$2,122,315</t>
  </si>
  <si>
    <t>$45</t>
  </si>
  <si>
    <t>3.99B</t>
  </si>
  <si>
    <t>LUCA</t>
  </si>
  <si>
    <t>$0.3324</t>
  </si>
  <si>
    <t>$2,117,779</t>
  </si>
  <si>
    <t>$101,934</t>
  </si>
  <si>
    <t>6.37M</t>
  </si>
  <si>
    <t>TaleX</t>
  </si>
  <si>
    <t>X</t>
  </si>
  <si>
    <t>$0.01411</t>
  </si>
  <si>
    <t>$2,116,526</t>
  </si>
  <si>
    <t>$52,628</t>
  </si>
  <si>
    <t>150M</t>
  </si>
  <si>
    <t>GhostwareOS</t>
  </si>
  <si>
    <t>GHOST</t>
  </si>
  <si>
    <t>$0.002109</t>
  </si>
  <si>
    <t>$2,109,365</t>
  </si>
  <si>
    <t>$85,018</t>
  </si>
  <si>
    <t>999.98M</t>
  </si>
  <si>
    <t>Signum</t>
  </si>
  <si>
    <t>SIGNA</t>
  </si>
  <si>
    <t>$0.0009900</t>
  </si>
  <si>
    <t>$2,108,672</t>
  </si>
  <si>
    <t>$13,019</t>
  </si>
  <si>
    <t>2.12B</t>
  </si>
  <si>
    <t>Primecoin</t>
  </si>
  <si>
    <t>XPM</t>
  </si>
  <si>
    <t>$0.03630</t>
  </si>
  <si>
    <t>$2,100,605</t>
  </si>
  <si>
    <t>$226</t>
  </si>
  <si>
    <t>57.85M</t>
  </si>
  <si>
    <t>HELLO Labs</t>
  </si>
  <si>
    <t>HELLO</t>
  </si>
  <si>
    <t>$0.002868</t>
  </si>
  <si>
    <t>$2,098,289</t>
  </si>
  <si>
    <t>$57,767</t>
  </si>
  <si>
    <t>731.58M</t>
  </si>
  <si>
    <t>Coupon Assets</t>
  </si>
  <si>
    <t>CA</t>
  </si>
  <si>
    <t>$0.2166</t>
  </si>
  <si>
    <t>$2,095,611</t>
  </si>
  <si>
    <t>$974,625</t>
  </si>
  <si>
    <t>9.67M</t>
  </si>
  <si>
    <t>Wise Monkey</t>
  </si>
  <si>
    <t>MONKY</t>
  </si>
  <si>
    <t>$0.062061</t>
  </si>
  <si>
    <t>$1,751,984</t>
  </si>
  <si>
    <t>$129,933</t>
  </si>
  <si>
    <t>8.5T</t>
  </si>
  <si>
    <t>Dynex</t>
  </si>
  <si>
    <t>DNX</t>
  </si>
  <si>
    <t>$0.01627</t>
  </si>
  <si>
    <t>$1,743,132</t>
  </si>
  <si>
    <t>$35,341</t>
  </si>
  <si>
    <t>107.13M</t>
  </si>
  <si>
    <t>Acet</t>
  </si>
  <si>
    <t>ACT</t>
  </si>
  <si>
    <t>$0.001384</t>
  </si>
  <si>
    <t>$1,742,134</t>
  </si>
  <si>
    <t>$30,616</t>
  </si>
  <si>
    <t>1.25B</t>
  </si>
  <si>
    <t>NetMind Token</t>
  </si>
  <si>
    <t>NMT</t>
  </si>
  <si>
    <t>$0.05205</t>
  </si>
  <si>
    <t>$1,741,360</t>
  </si>
  <si>
    <t>$76,076</t>
  </si>
  <si>
    <t>33.45M</t>
  </si>
  <si>
    <t>nubcat</t>
  </si>
  <si>
    <t>NUB</t>
  </si>
  <si>
    <t>$0.001830</t>
  </si>
  <si>
    <t>$1,738,604</t>
  </si>
  <si>
    <t>$495,271</t>
  </si>
  <si>
    <t>950M</t>
  </si>
  <si>
    <t>mStable Governance Token: Meta (MTA)</t>
  </si>
  <si>
    <t>MTA</t>
  </si>
  <si>
    <t>$0.03126</t>
  </si>
  <si>
    <t>$1,732,632</t>
  </si>
  <si>
    <t>$5</t>
  </si>
  <si>
    <t>55.41M</t>
  </si>
  <si>
    <t>Tron Bull</t>
  </si>
  <si>
    <t>BULL</t>
  </si>
  <si>
    <t>$0.001820</t>
  </si>
  <si>
    <t>$1,730,416</t>
  </si>
  <si>
    <t>$52,131</t>
  </si>
  <si>
    <t>950.27M</t>
  </si>
  <si>
    <t>Polytrade</t>
  </si>
  <si>
    <t>TRADE</t>
  </si>
  <si>
    <t>$0.04186</t>
  </si>
  <si>
    <t>$1,728,611</t>
  </si>
  <si>
    <t>$150,993</t>
  </si>
  <si>
    <t>41.28M</t>
  </si>
  <si>
    <t>Azit</t>
  </si>
  <si>
    <t>AZIT</t>
  </si>
  <si>
    <t>$0.003993</t>
  </si>
  <si>
    <t>$1,716,480</t>
  </si>
  <si>
    <t>$112,276</t>
  </si>
  <si>
    <t>429.81M</t>
  </si>
  <si>
    <t>Perpetual Protocol</t>
  </si>
  <si>
    <t>PERP</t>
  </si>
  <si>
    <t>$0.02597</t>
  </si>
  <si>
    <t>$1,714,570</t>
  </si>
  <si>
    <t>$241,443</t>
  </si>
  <si>
    <t>66M</t>
  </si>
  <si>
    <t>SLERF (OLD)</t>
  </si>
  <si>
    <t>SLERF</t>
  </si>
  <si>
    <t>$0.003391</t>
  </si>
  <si>
    <t>$1,695,550</t>
  </si>
  <si>
    <t>$30,913</t>
  </si>
  <si>
    <t>499.99M</t>
  </si>
  <si>
    <t>AR.IO Network</t>
  </si>
  <si>
    <t>ARIO</t>
  </si>
  <si>
    <t>$0.002755</t>
  </si>
  <si>
    <t>$1,694,329</t>
  </si>
  <si>
    <t>$3,195</t>
  </si>
  <si>
    <t>614.89M</t>
  </si>
  <si>
    <t>SunContract</t>
  </si>
  <si>
    <t>SNC</t>
  </si>
  <si>
    <t>$0.02362</t>
  </si>
  <si>
    <t>$1,676,898</t>
  </si>
  <si>
    <t>$190,087</t>
  </si>
  <si>
    <t>70.97M</t>
  </si>
  <si>
    <t>GAIA</t>
  </si>
  <si>
    <t>$0.008100</t>
  </si>
  <si>
    <t>$1,377,090</t>
  </si>
  <si>
    <t>$975,854</t>
  </si>
  <si>
    <t>170M</t>
  </si>
  <si>
    <t>Aerobud</t>
  </si>
  <si>
    <t>AEROBUD</t>
  </si>
  <si>
    <t>$0.001419</t>
  </si>
  <si>
    <t>$1,376,470</t>
  </si>
  <si>
    <t>$73,985</t>
  </si>
  <si>
    <t>970M</t>
  </si>
  <si>
    <t>RichQUACK.com</t>
  </si>
  <si>
    <t>QUACK</t>
  </si>
  <si>
    <t>$0.0103119</t>
  </si>
  <si>
    <t>$1,375,357</t>
  </si>
  <si>
    <t>$258</t>
  </si>
  <si>
    <t>44.08P</t>
  </si>
  <si>
    <t>Bitcicoin</t>
  </si>
  <si>
    <t>BITCI</t>
  </si>
  <si>
    <t>$0.0001779</t>
  </si>
  <si>
    <t>$1,371,403</t>
  </si>
  <si>
    <t>7.7B</t>
  </si>
  <si>
    <t>Ethervista</t>
  </si>
  <si>
    <t>VISTA</t>
  </si>
  <si>
    <t>$1.45</t>
  </si>
  <si>
    <t>$1,370,889</t>
  </si>
  <si>
    <t>$64,297</t>
  </si>
  <si>
    <t>939.21K</t>
  </si>
  <si>
    <t>Italian National Football Team Fan Token</t>
  </si>
  <si>
    <t>ITA</t>
  </si>
  <si>
    <t>$0.1067</t>
  </si>
  <si>
    <t>$1,368,174</t>
  </si>
  <si>
    <t>$133,857</t>
  </si>
  <si>
    <t>12.81M</t>
  </si>
  <si>
    <t>Cere Network</t>
  </si>
  <si>
    <t>CERE</t>
  </si>
  <si>
    <t>$0.0001965</t>
  </si>
  <si>
    <t>$1,364,205</t>
  </si>
  <si>
    <t>$79,839</t>
  </si>
  <si>
    <t>6.93B</t>
  </si>
  <si>
    <t>XL1</t>
  </si>
  <si>
    <t>$0.0002375</t>
  </si>
  <si>
    <t>$1,363,127</t>
  </si>
  <si>
    <t>$934,795</t>
  </si>
  <si>
    <t>5.73B</t>
  </si>
  <si>
    <t>Shiro Neko</t>
  </si>
  <si>
    <t>SHIRO</t>
  </si>
  <si>
    <t>$0.082140</t>
  </si>
  <si>
    <t>$1,361,600</t>
  </si>
  <si>
    <t>$147,605</t>
  </si>
  <si>
    <t>636.12T</t>
  </si>
  <si>
    <t>TOWER</t>
  </si>
  <si>
    <t>$0.0002238</t>
  </si>
  <si>
    <t>$1,360,761</t>
  </si>
  <si>
    <t>$492,139</t>
  </si>
  <si>
    <t>6.07B</t>
  </si>
  <si>
    <t>安</t>
  </si>
  <si>
    <t>$0.001359</t>
  </si>
  <si>
    <t>$1,359,796</t>
  </si>
  <si>
    <t>$298,359</t>
  </si>
  <si>
    <t>BytomDAO</t>
  </si>
  <si>
    <t>BTM</t>
  </si>
  <si>
    <t>$0.0008761</t>
  </si>
  <si>
    <t>$1,358,212</t>
  </si>
  <si>
    <t>1.55B</t>
  </si>
  <si>
    <t>OpenGPU</t>
  </si>
  <si>
    <t>OGPU</t>
  </si>
  <si>
    <t>$0.06890</t>
  </si>
  <si>
    <t>$1,353,229</t>
  </si>
  <si>
    <t>$41,592</t>
  </si>
  <si>
    <t>19.63M</t>
  </si>
  <si>
    <t>BASE</t>
  </si>
  <si>
    <t>$0.051206</t>
  </si>
  <si>
    <t>$1,121,130</t>
  </si>
  <si>
    <t>$2,007</t>
  </si>
  <si>
    <t>929.45B</t>
  </si>
  <si>
    <t>BitcoinII</t>
  </si>
  <si>
    <t>BC2</t>
  </si>
  <si>
    <t>$0.4183</t>
  </si>
  <si>
    <t>$1,098,616</t>
  </si>
  <si>
    <t>$8,914</t>
  </si>
  <si>
    <t>2.62M</t>
  </si>
  <si>
    <t>MCN</t>
  </si>
  <si>
    <t>$0.09248</t>
  </si>
  <si>
    <t>$1,109,822</t>
  </si>
  <si>
    <t>$22,408</t>
  </si>
  <si>
    <t>12M</t>
  </si>
  <si>
    <t>Pepes Dog</t>
  </si>
  <si>
    <t>ZEUS</t>
  </si>
  <si>
    <t>$0.082619</t>
  </si>
  <si>
    <t>$1,102,053</t>
  </si>
  <si>
    <t>$1,118,950</t>
  </si>
  <si>
    <t>420.69T</t>
  </si>
  <si>
    <t>Prosper</t>
  </si>
  <si>
    <t>PROS</t>
  </si>
  <si>
    <t>$0.02143</t>
  </si>
  <si>
    <t>$1,101,673</t>
  </si>
  <si>
    <t>$65,686</t>
  </si>
  <si>
    <t>51.39M</t>
  </si>
  <si>
    <t>Minati Coin</t>
  </si>
  <si>
    <t>MNTC</t>
  </si>
  <si>
    <t>$0.1754</t>
  </si>
  <si>
    <t>$1,101,064</t>
  </si>
  <si>
    <t>$8,879</t>
  </si>
  <si>
    <t>6.27M</t>
  </si>
  <si>
    <t>Delabs Games</t>
  </si>
  <si>
    <t>DELABS</t>
  </si>
  <si>
    <t>$0.001462</t>
  </si>
  <si>
    <t>$1,097,570</t>
  </si>
  <si>
    <t>$3,150</t>
  </si>
  <si>
    <t>750.3M</t>
  </si>
  <si>
    <t>Bitboard</t>
  </si>
  <si>
    <t>BB</t>
  </si>
  <si>
    <t>$0.0002477</t>
  </si>
  <si>
    <t>$1,096,127</t>
  </si>
  <si>
    <t>$247,575</t>
  </si>
  <si>
    <t>4.42B</t>
  </si>
  <si>
    <t>Rizzmas</t>
  </si>
  <si>
    <t>RIZZMAS</t>
  </si>
  <si>
    <t>$0.052201</t>
  </si>
  <si>
    <t>$1,094,656</t>
  </si>
  <si>
    <t>$355,034</t>
  </si>
  <si>
    <t>497.31B</t>
  </si>
  <si>
    <t>Shina Inu</t>
  </si>
  <si>
    <t>SHI</t>
  </si>
  <si>
    <t>$0.078956</t>
  </si>
  <si>
    <t>$1,094,031</t>
  </si>
  <si>
    <t>$32,087</t>
  </si>
  <si>
    <t>12.21T</t>
  </si>
  <si>
    <t>Curculating_Supply($)</t>
  </si>
  <si>
    <t>Price Category</t>
  </si>
  <si>
    <t>Greater than 50</t>
  </si>
  <si>
    <t>0 to 50</t>
  </si>
  <si>
    <t>Grand Total</t>
  </si>
  <si>
    <t xml:space="preserve"> Volume (24h)</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</si>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</sst>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20"/>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0" borderId="0" xfId="0" applyFont="1" applyAlignment="1">
      <alignment horizontal="center"/>
    </xf>
  </cellXfs>
  <cellStyles count="1">
    <cellStyle name="Normal" xfId="0" builtinId="0"/>
  </cellStyles>
  <dxfs count="7">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20"/>
        <color theme="1"/>
        <name val="Calibri"/>
        <family val="2"/>
        <scheme val="minor"/>
      </font>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solidFill>
                  <a:srgbClr val="FF0000"/>
                </a:solidFill>
              </a:rPr>
              <a:t>Liquidity Distribution of Crypto Coins</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pieChart>
        <c:varyColors val="1"/>
        <c:ser>
          <c:idx val="0"/>
          <c:order val="0"/>
          <c:tx>
            <c:strRef>
              <c:f>DASHBOARD!$V$32</c:f>
              <c:strCache>
                <c:ptCount val="1"/>
                <c:pt idx="0">
                  <c:v>Volume (24h)</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3C6-4D0D-8B08-6819260EA4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3C6-4D0D-8B08-6819260EA42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3C6-4D0D-8B08-6819260EA42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3C6-4D0D-8B08-6819260EA42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3C6-4D0D-8B08-6819260EA42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3C6-4D0D-8B08-6819260EA426}"/>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DASHBOARD!$U$33:$U$38</c:f>
              <c:strCache>
                <c:ptCount val="6"/>
                <c:pt idx="0">
                  <c:v>Dogecoin</c:v>
                </c:pt>
                <c:pt idx="1">
                  <c:v>Tether</c:v>
                </c:pt>
                <c:pt idx="2">
                  <c:v>TRON</c:v>
                </c:pt>
                <c:pt idx="3">
                  <c:v>USDC</c:v>
                </c:pt>
                <c:pt idx="4">
                  <c:v>XRP</c:v>
                </c:pt>
                <c:pt idx="5">
                  <c:v>Others</c:v>
                </c:pt>
              </c:strCache>
            </c:strRef>
          </c:cat>
          <c:val>
            <c:numRef>
              <c:f>DASHBOARD!$V$33:$V$38</c:f>
              <c:numCache>
                <c:formatCode>General</c:formatCode>
                <c:ptCount val="6"/>
                <c:pt idx="0">
                  <c:v>1658004162</c:v>
                </c:pt>
                <c:pt idx="1">
                  <c:v>133380001774</c:v>
                </c:pt>
                <c:pt idx="2">
                  <c:v>810662274</c:v>
                </c:pt>
                <c:pt idx="3">
                  <c:v>57775900032</c:v>
                </c:pt>
                <c:pt idx="4">
                  <c:v>2057869941</c:v>
                </c:pt>
                <c:pt idx="5">
                  <c:v>76475803544</c:v>
                </c:pt>
              </c:numCache>
            </c:numRef>
          </c:val>
          <c:extLst>
            <c:ext xmlns:c16="http://schemas.microsoft.com/office/drawing/2014/chart" uri="{C3380CC4-5D6E-409C-BE32-E72D297353CC}">
              <c16:uniqueId val="{0000000C-B3C6-4D0D-8B08-6819260EA42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glow rad="228600">
        <a:schemeClr val="accent2">
          <a:satMod val="175000"/>
          <a:alpha val="40000"/>
        </a:schemeClr>
      </a:glow>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1360714</xdr:colOff>
      <xdr:row>10</xdr:row>
      <xdr:rowOff>0</xdr:rowOff>
    </xdr:from>
    <xdr:to>
      <xdr:col>22</xdr:col>
      <xdr:colOff>36286</xdr:colOff>
      <xdr:row>24</xdr:row>
      <xdr:rowOff>160053</xdr:rowOff>
    </xdr:to>
    <xdr:graphicFrame macro="">
      <xdr:nvGraphicFramePr>
        <xdr:cNvPr id="6" name="Chart 5">
          <a:extLst>
            <a:ext uri="{FF2B5EF4-FFF2-40B4-BE49-F238E27FC236}">
              <a16:creationId xmlns:a16="http://schemas.microsoft.com/office/drawing/2014/main" id="{38DA9828-F44F-49F9-9F15-D4B7F77D0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xdr:colOff>
      <xdr:row>9</xdr:row>
      <xdr:rowOff>145143</xdr:rowOff>
    </xdr:from>
    <xdr:to>
      <xdr:col>21</xdr:col>
      <xdr:colOff>507999</xdr:colOff>
      <xdr:row>24</xdr:row>
      <xdr:rowOff>163227</xdr:rowOff>
    </xdr:to>
    <mc:AlternateContent xmlns:mc="http://schemas.openxmlformats.org/markup-compatibility/2006">
      <mc:Choice xmlns:a14="http://schemas.microsoft.com/office/drawing/2010/main" Requires="a14">
        <xdr:graphicFrame macro="">
          <xdr:nvGraphicFramePr>
            <xdr:cNvPr id="7" name="Price Category">
              <a:extLst>
                <a:ext uri="{FF2B5EF4-FFF2-40B4-BE49-F238E27FC236}">
                  <a16:creationId xmlns:a16="http://schemas.microsoft.com/office/drawing/2014/main" id="{79FFA396-B8F1-4576-A4F7-5F0A2A44A535}"/>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11646169" y="1847483"/>
              <a:ext cx="2993958" cy="2855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562428</xdr:colOff>
      <xdr:row>3</xdr:row>
      <xdr:rowOff>72571</xdr:rowOff>
    </xdr:from>
    <xdr:to>
      <xdr:col>22</xdr:col>
      <xdr:colOff>90714</xdr:colOff>
      <xdr:row>6</xdr:row>
      <xdr:rowOff>18143</xdr:rowOff>
    </xdr:to>
    <xdr:sp macro="" textlink="">
      <xdr:nvSpPr>
        <xdr:cNvPr id="8" name="TextBox 7">
          <a:extLst>
            <a:ext uri="{FF2B5EF4-FFF2-40B4-BE49-F238E27FC236}">
              <a16:creationId xmlns:a16="http://schemas.microsoft.com/office/drawing/2014/main" id="{526882C7-2B0F-03ED-59E1-5FF80461E05B}"/>
            </a:ext>
          </a:extLst>
        </xdr:cNvPr>
        <xdr:cNvSpPr txBox="1"/>
      </xdr:nvSpPr>
      <xdr:spPr>
        <a:xfrm>
          <a:off x="11665857" y="616857"/>
          <a:ext cx="9035143" cy="489857"/>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rgbClr val="FF0000"/>
              </a:solidFill>
            </a:rPr>
            <a:t>Crypto Liquidity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r" refreshedDate="46148.444154050929" createdVersion="8" refreshedVersion="8" minRefreshableVersion="3" recordCount="258" xr:uid="{A2637E3A-9EEE-4F0C-AB23-72C477A0E9D4}">
  <cacheSource type="worksheet">
    <worksheetSource name="raw_data__4"/>
  </cacheSource>
  <cacheFields count="8">
    <cacheField name="Coin Name" numFmtId="0">
      <sharedItems count="258">
        <s v="Bitcoin"/>
        <s v="Ethereum"/>
        <s v="Tether"/>
        <s v="XRP"/>
        <s v="BNB"/>
        <s v="USDC"/>
        <s v="Solana"/>
        <s v="TRON"/>
        <s v="Dogecoin"/>
        <s v="Hyperliquid"/>
        <s v="UNUS SED LEO"/>
        <s v="Cardano"/>
        <s v="Bitcoin Cash"/>
        <s v="Monero"/>
        <s v="SPX6900"/>
        <s v="Sun [New]"/>
        <s v="Monad"/>
        <s v="Curve DAO Token"/>
        <s v="ether.fi"/>
        <s v="BUILDon"/>
        <s v="Gnosis"/>
        <s v="Immutable"/>
        <s v="Zebec Network"/>
        <s v="Decred"/>
        <s v="Celestia"/>
        <s v="Bitcoin SV"/>
        <s v="Conflux"/>
        <s v="BitTorrent [New]"/>
        <s v="Lido DAO"/>
        <s v="Rain"/>
        <s v="HTX"/>
        <s v="Falcon USD"/>
        <s v="Ondo US Dollar Yield"/>
        <s v="c8ntinuum"/>
        <s v="Jupiter Perps LP"/>
        <s v="Beldex"/>
        <s v="GHO"/>
        <s v="LAB"/>
        <s v="Usual USD"/>
        <s v="USDai"/>
        <s v="Solstice USX"/>
        <s v="Ducky"/>
        <s v="USDGO"/>
        <s v="Unibase"/>
        <s v="would"/>
        <s v="Oasis"/>
        <s v="UnifAI Network"/>
        <s v="Toshi"/>
        <s v="GMX"/>
        <s v="Blur"/>
        <s v="Amp"/>
        <s v="Alchemy Pay"/>
        <s v="Astar"/>
        <s v="Ronin"/>
        <s v="Holo"/>
        <s v="Nervos Network"/>
        <s v="Fogo"/>
        <s v="Comedian"/>
        <s v="Ankr"/>
        <s v="StorX Network"/>
        <s v="Law Blocks (AI)"/>
        <s v="Mask Network"/>
        <s v="Merlin Chain"/>
        <s v="ssv.network"/>
        <s v="Succinct"/>
        <s v="Hive"/>
        <s v="TROLL (SOL)"/>
        <s v="Altlayer"/>
        <s v="Status"/>
        <s v="XYO"/>
        <s v="Score"/>
        <s v="Atoshi"/>
        <s v="MobileCoin"/>
        <s v="GoPlus Security"/>
        <s v="Burnedfi"/>
        <s v="Decentralized Social"/>
        <s v="Espresso"/>
        <s v="Snek"/>
        <s v="Steem"/>
        <s v="Prom"/>
        <s v="Cyber"/>
        <s v="Secret"/>
        <s v="MVL"/>
        <s v="DOGS"/>
        <s v="Nockchain"/>
        <s v="MiL.k"/>
        <s v="XPIN Network"/>
        <s v="Audius"/>
        <s v="IQ"/>
        <s v="Infinity Ground"/>
        <s v="Uquid Coin"/>
        <s v="LCX"/>
        <s v="Chainbase"/>
        <s v="Phala Network"/>
        <s v="UNS TOKEN"/>
        <s v="USDB"/>
        <s v="Tether Gold Tokens"/>
        <s v="Anoma"/>
        <s v="Katana"/>
        <s v="Boundless"/>
        <s v="AI Companions"/>
        <s v="Hippo Protocol"/>
        <s v="HarryPotterObamaSonic10Inu (ERC-20)"/>
        <s v="Unitas"/>
        <s v="SynFutures"/>
        <s v="tx"/>
        <s v="Celer Network"/>
        <s v="Treasure"/>
        <s v="FLock.io"/>
        <s v="Verified Emeralds"/>
        <s v="Codatta"/>
        <s v="HeyElsa"/>
        <s v="B3 (Base)"/>
        <s v="Nosana"/>
        <s v="Torch of Liberty"/>
        <s v="Banana Gun"/>
        <s v="Folks Finance"/>
        <s v="DORA"/>
        <s v="Firo"/>
        <s v="SmarDex"/>
        <s v="PAAL AI"/>
        <s v="Gains Network"/>
        <s v="Metaplex"/>
        <s v="BENQI"/>
        <s v="IXS"/>
        <s v="BOB (Build on Bitcoin)"/>
        <s v="OpenVPP"/>
        <s v="Make Aliens Great Again"/>
        <s v="Vulcan Forged (PYR)"/>
        <s v="Vanar Chain"/>
        <s v="Destra Network"/>
        <s v="Boba Network"/>
        <s v="Intuition"/>
        <s v="Gleec Coin"/>
        <s v="DAR Open Network"/>
        <s v="Brickken"/>
        <s v="Puffer"/>
        <s v="Enzyme"/>
        <s v="APX"/>
        <s v="ANyONe Protocol"/>
        <s v="XION"/>
        <s v="IAGON"/>
        <s v="Freedom Dollar"/>
        <s v="Automata Network"/>
        <s v="DeBox"/>
        <s v="DeAgentAI"/>
        <s v="Bitlayer"/>
        <s v="AKEDO"/>
        <s v="OVERTAKE"/>
        <s v="Klever Coin"/>
        <s v="NFPrompt"/>
        <s v="Heima"/>
        <s v="Juventus Fan Token"/>
        <s v="Yee Token"/>
        <s v="SaitaChain Coin"/>
        <s v="Minima"/>
        <s v="Manchester City Fan Token"/>
        <s v="Neon EVM"/>
        <s v="RACA"/>
        <s v="PIVX"/>
        <s v="Graphite Protocol"/>
        <s v="MESSIER"/>
        <s v="Ambire Wallet"/>
        <s v="Sperax"/>
        <s v="Suilend"/>
        <s v="Epic Private Internet Cash"/>
        <s v="SCOR"/>
        <s v="Creta World"/>
        <s v="Cross The Ages"/>
        <s v="RealFi"/>
        <s v="AC Milan Fan Token"/>
        <s v="Utrust"/>
        <s v="375ai"/>
        <s v="Diamond"/>
        <s v="Not Pixel"/>
        <s v="Wojak (wojakmeme.fun)"/>
        <s v="CLV"/>
        <s v="Nodle"/>
        <s v="Roam"/>
        <s v="Bitrue Coin"/>
        <s v="Sentio"/>
        <s v="Suku"/>
        <s v="FUNToken"/>
        <s v="PussFi"/>
        <s v="Aleph Cloud"/>
        <s v="Zypher Network"/>
        <s v="RollX"/>
        <s v="SPECTRE AI"/>
        <s v="Sentinel"/>
        <s v="Nine Chronicles"/>
        <s v="BioPassport Token"/>
        <s v="VNX Euro"/>
        <s v="ROA CORE"/>
        <s v="Gearbox Protocol"/>
        <s v="TRUF.Network"/>
        <s v="Pundi AI"/>
        <s v="Electra Protocol"/>
        <s v="PeiPei (ETH)"/>
        <s v="Xterio"/>
        <s v="CreatorBid"/>
        <s v="World of Dypians"/>
        <s v="Scallop"/>
        <s v="LOL (lolonsol)"/>
        <s v="Nietzschean Penguin"/>
        <s v="Mayflower AI"/>
        <s v="Decentrawood"/>
        <s v="Pluton"/>
        <s v="Measurable Data Token"/>
        <s v="Coinweb"/>
        <s v="SHIBA INU"/>
        <s v="r/CryptoCurrency Moons"/>
        <s v="Particl"/>
        <s v="KYVE Network"/>
        <s v="Project WITH"/>
        <s v="Pirate Nation"/>
        <s v="Nexera"/>
        <s v="SHPING"/>
        <s v="Games for a Living"/>
        <s v="LUCA"/>
        <s v="TaleX"/>
        <s v="GhostwareOS"/>
        <s v="Signum"/>
        <s v="Primecoin"/>
        <s v="HELLO Labs"/>
        <s v="Coupon Assets"/>
        <s v="Wise Monkey"/>
        <s v="Dynex"/>
        <s v="Acet"/>
        <s v="NetMind Token"/>
        <s v="nubcat"/>
        <s v="mStable Governance Token: Meta (MTA)"/>
        <s v="Tron Bull"/>
        <s v="Polytrade"/>
        <s v="Azit"/>
        <s v="Perpetual Protocol"/>
        <s v="SLERF (OLD)"/>
        <s v="AR.IO Network"/>
        <s v="SunContract"/>
        <s v="GAIA"/>
        <s v="Aerobud"/>
        <s v="Ethervista"/>
        <s v="Italian National Football Team Fan Token"/>
        <s v="Cere Network"/>
        <s v="XL1"/>
        <s v="Shiro Neko"/>
        <s v="TOWER"/>
        <s v="安"/>
        <s v="OpenGPU"/>
        <s v="BASE"/>
        <s v="BitcoinII"/>
        <s v="MCN"/>
        <s v="Pepes Dog"/>
        <s v="Prosper"/>
        <s v="Minati Coin"/>
        <s v="Delabs Games"/>
        <s v="Bitboard"/>
        <s v="Rizzmas"/>
        <s v="Shina Inu"/>
      </sharedItems>
    </cacheField>
    <cacheField name="Symbol" numFmtId="0">
      <sharedItems/>
    </cacheField>
    <cacheField name="Price (USD)" numFmtId="0">
      <sharedItems containsSemiMixedTypes="0" containsString="0" containsNumber="1" minValue="0" maxValue="80714.75" count="214">
        <n v="80714.75"/>
        <n v="2372.21"/>
        <n v="0.99980000000000002"/>
        <n v="1.4"/>
        <n v="627.08000000000004"/>
        <n v="84.64"/>
        <n v="0.34060000000000001"/>
        <n v="0.1111"/>
        <n v="43"/>
        <n v="10.32"/>
        <n v="0.25840000000000002"/>
        <n v="454.95"/>
        <n v="405.43"/>
        <n v="0.40300000000000002"/>
        <n v="1.9199999999999998E-2"/>
        <n v="3.04E-2"/>
        <n v="0.2397"/>
        <n v="0.42220000000000002"/>
        <n v="0.3493"/>
        <n v="132.21"/>
        <n v="0.17080000000000001"/>
        <n v="3.3999999999999998E-3"/>
        <n v="19.45"/>
        <n v="0.37"/>
        <n v="16.32"/>
        <n v="6.1699999999999998E-2"/>
        <n v="6.3200000000000006E-2"/>
        <n v="0.37480000000000002"/>
        <n v="7.4999999999999997E-3"/>
        <n v="5.1900000000000002E-2"/>
        <n v="0.99790000000000001"/>
        <n v="1.1200000000000001"/>
        <n v="0.21959999999999999"/>
        <n v="3.91"/>
        <n v="7.9899999999999999E-2"/>
        <n v="0.99960000000000004"/>
        <n v="2.4500000000000002"/>
        <n v="0.99819999999999998"/>
        <n v="0.99950000000000006"/>
        <n v="8.0000000000000004E-4"/>
        <n v="0.1255"/>
        <n v="7.9000000000000001E-2"/>
        <n v="1.0200000000000001E-2"/>
        <n v="0.32400000000000001"/>
        <n v="2.0000000000000001E-4"/>
        <n v="7.35"/>
        <n v="2.7199999999999998E-2"/>
        <n v="8.9999999999999998E-4"/>
        <n v="7.6E-3"/>
        <n v="8.6999999999999994E-3"/>
        <n v="9.7299999999999998E-2"/>
        <n v="4.0000000000000002E-4"/>
        <n v="1.5E-3"/>
        <n v="1.9300000000000001E-2"/>
        <n v="7.3400000000000007E-2"/>
        <n v="5.0000000000000001E-3"/>
        <n v="5.9499999999999997E-2"/>
        <n v="0.20219999999999999"/>
        <n v="0.49399999999999999"/>
        <n v="3.9899999999999998E-2"/>
        <n v="2.85"/>
        <n v="0.25130000000000002"/>
        <n v="9.0300000000000005E-2"/>
        <n v="4.8599999999999997E-2"/>
        <n v="7.9000000000000008E-3"/>
        <n v="1.01E-2"/>
        <n v="3.5000000000000001E-3"/>
        <n v="11.07"/>
        <n v="4.07E-2"/>
        <n v="0.1845"/>
        <n v="8.0999999999999996E-3"/>
        <n v="2.95"/>
        <n v="4.09"/>
        <n v="6.9699999999999998E-2"/>
        <n v="5.0000000000000001E-4"/>
        <n v="6.6199999999999995E-2"/>
        <n v="1.98"/>
        <n v="0.54759999999999998"/>
        <n v="0.10639999999999999"/>
        <n v="1.2999999999999999E-3"/>
        <n v="1E-4"/>
        <n v="1.8700000000000001E-2"/>
        <n v="5.2299999999999999E-2"/>
        <n v="1.1999999999999999E-3"/>
        <n v="2.0199999999999999E-2"/>
        <n v="1.1000000000000001E-3"/>
        <n v="9.4700000000000006E-2"/>
        <n v="2.83"/>
        <n v="2.9600000000000001E-2"/>
        <n v="8.2000000000000003E-2"/>
        <n v="3.3300000000000003E-2"/>
        <n v="0.26379999999999998"/>
        <n v="1"/>
        <n v="4549.22"/>
        <n v="8.8999999999999999E-3"/>
        <n v="9.4999999999999998E-3"/>
        <n v="7.6100000000000001E-2"/>
        <n v="2.93E-2"/>
        <n v="1.6199999999999999E-2"/>
        <n v="2.1899999999999999E-2"/>
        <n v="0.14979999999999999"/>
        <n v="5.5999999999999999E-3"/>
        <n v="2.8E-3"/>
        <n v="6.6000000000000003E-2"/>
        <n v="5.9799999999999999E-2"/>
        <n v="6.81"/>
        <n v="6.7999999999999996E-3"/>
        <n v="7.3800000000000004E-2"/>
        <n v="0.23549999999999999"/>
        <n v="1.6500000000000001E-2"/>
        <n v="4.0999999999999996"/>
        <n v="1.34"/>
        <n v="1.66E-2"/>
        <n v="0.88319999999999999"/>
        <n v="1.6999999999999999E-3"/>
        <n v="1.2999999999999999E-2"/>
        <n v="0.54020000000000001"/>
        <n v="2.5100000000000001E-2"/>
        <n v="1.8E-3"/>
        <n v="7.0800000000000002E-2"/>
        <n v="5.7000000000000002E-3"/>
        <n v="1.5800000000000002E-2"/>
        <n v="0.27350000000000002"/>
        <n v="5.3E-3"/>
        <n v="1.29E-2"/>
        <n v="2.5499999999999998E-2"/>
        <n v="6.9199999999999998E-2"/>
        <n v="5.5300000000000002E-2"/>
        <n v="1.35E-2"/>
        <n v="0.12429999999999999"/>
        <n v="2.2800000000000001E-2"/>
        <n v="3.04"/>
        <n v="0.22550000000000001"/>
        <n v="0.1021"/>
        <n v="0.13700000000000001"/>
        <n v="2.63E-2"/>
        <n v="1.03E-2"/>
        <n v="5.1299999999999998E-2"/>
        <n v="2.8899999999999999E-2"/>
        <n v="2.9999999999999997E-4"/>
        <n v="2.8199999999999999E-2"/>
        <n v="8.5099999999999995E-2"/>
        <n v="0.48980000000000001"/>
        <n v="7.4000000000000003E-3"/>
        <n v="1.34E-2"/>
        <n v="0.5605"/>
        <n v="3.0800000000000001E-2"/>
        <n v="0"/>
        <n v="7.1599999999999997E-2"/>
        <n v="0.16600000000000001"/>
        <n v="5.6500000000000002E-2"/>
        <n v="8.3000000000000001E-3"/>
        <n v="8.4199999999999997E-2"/>
        <n v="0.33179999999999998"/>
        <n v="1.72E-2"/>
        <n v="2E-3"/>
        <n v="1.1299999999999999E-2"/>
        <n v="8.5000000000000006E-3"/>
        <n v="0.42499999999999999"/>
        <n v="2.6200000000000001E-2"/>
        <n v="1.5"/>
        <n v="2.24E-2"/>
        <n v="4.3E-3"/>
        <n v="6.9999999999999999E-4"/>
        <n v="1.23E-2"/>
        <n v="1.1900000000000001E-2"/>
        <n v="7.5899999999999995E-2"/>
        <n v="7.1000000000000004E-3"/>
        <n v="4.7999999999999996E-3"/>
        <n v="1.7100000000000001E-2"/>
        <n v="0.42099999999999999"/>
        <n v="5.4000000000000003E-3"/>
        <n v="1.17"/>
        <n v="4.4000000000000003E-3"/>
        <n v="6.1999999999999998E-3"/>
        <n v="0.45529999999999998"/>
        <n v="8.7599999999999997E-2"/>
        <n v="8.2000000000000007E-3"/>
        <n v="6.4000000000000003E-3"/>
        <n v="2.5999999999999999E-3"/>
        <n v="5.8999999999999999E-3"/>
        <n v="5.4999999999999997E-3"/>
        <n v="0.1507"/>
        <n v="3.8E-3"/>
        <n v="1E-3"/>
        <n v="8.3799999999999999E-2"/>
        <n v="2.3900000000000001E-2"/>
        <n v="0.13739999999999999"/>
        <n v="4.0000000000000001E-3"/>
        <n v="0.33239999999999997"/>
        <n v="1.41E-2"/>
        <n v="2.0999999999999999E-3"/>
        <n v="3.6299999999999999E-2"/>
        <n v="2.8999999999999998E-3"/>
        <n v="0.21659999999999999"/>
        <n v="6.2100000000000002E-2"/>
        <n v="1.6299999999999999E-2"/>
        <n v="1.4E-3"/>
        <n v="5.1999999999999998E-2"/>
        <n v="3.1300000000000001E-2"/>
        <n v="4.19E-2"/>
        <n v="2.5999999999999999E-2"/>
        <n v="2.3599999999999999E-2"/>
        <n v="1.45"/>
        <n v="0.1067"/>
        <n v="8.2100000000000006E-2"/>
        <n v="6.8900000000000003E-2"/>
        <n v="5.1200000000000002E-2"/>
        <n v="0.41830000000000001"/>
        <n v="9.2499999999999999E-2"/>
        <n v="8.2600000000000007E-2"/>
        <n v="2.1399999999999999E-2"/>
        <n v="0.1754"/>
        <n v="5.2200000000000003E-2"/>
      </sharedItems>
    </cacheField>
    <cacheField name="Market Capital" numFmtId="0">
      <sharedItems containsSemiMixedTypes="0" containsString="0" containsNumber="1" containsInteger="1" minValue="1094031" maxValue="1615811626193"/>
    </cacheField>
    <cacheField name="Volume (24h)" numFmtId="0">
      <sharedItems containsSemiMixedTypes="0" containsString="0" containsNumber="1" containsInteger="1" minValue="5" maxValue="133380001774"/>
    </cacheField>
    <cacheField name="Circulating Supply" numFmtId="0">
      <sharedItems/>
    </cacheField>
    <cacheField name="Curculating_Supply($)" numFmtId="0">
      <sharedItems containsSemiMixedTypes="0" containsString="0" containsNumber="1" minValue="4900" maxValue="987030000000000"/>
    </cacheField>
    <cacheField name="Price Category" numFmtId="0">
      <sharedItems count="2">
        <s v="Greater than 50"/>
        <s v="0 to 50"/>
      </sharedItems>
    </cacheField>
  </cacheFields>
  <extLst>
    <ext xmlns:x14="http://schemas.microsoft.com/office/spreadsheetml/2009/9/main" uri="{725AE2AE-9491-48be-B2B4-4EB974FC3084}">
      <x14:pivotCacheDefinition pivotCacheId="577785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8">
  <r>
    <x v="0"/>
    <s v="BTC"/>
    <x v="0"/>
    <n v="1615811626193"/>
    <n v="45652836784"/>
    <s v="20.02M"/>
    <n v="20020000"/>
    <x v="0"/>
  </r>
  <r>
    <x v="1"/>
    <s v="ETH"/>
    <x v="1"/>
    <n v="286127949730"/>
    <n v="19566352114"/>
    <s v="120.68M"/>
    <n v="120680000"/>
    <x v="0"/>
  </r>
  <r>
    <x v="2"/>
    <s v="USDT"/>
    <x v="2"/>
    <n v="189538021949"/>
    <n v="133380001774"/>
    <s v="189.57B"/>
    <n v="189570000000"/>
    <x v="1"/>
  </r>
  <r>
    <x v="3"/>
    <s v="XRP"/>
    <x v="3"/>
    <n v="86723295883"/>
    <n v="2057869941"/>
    <s v="61.79B"/>
    <n v="61790000000"/>
    <x v="1"/>
  </r>
  <r>
    <x v="4"/>
    <s v="BNB"/>
    <x v="4"/>
    <n v="84521570526"/>
    <n v="1748367843"/>
    <s v="134.78M"/>
    <n v="134780000"/>
    <x v="0"/>
  </r>
  <r>
    <x v="5"/>
    <s v="USDC"/>
    <x v="2"/>
    <n v="77752991827"/>
    <n v="57775900032"/>
    <s v="77.76B"/>
    <n v="77760000000"/>
    <x v="1"/>
  </r>
  <r>
    <x v="6"/>
    <s v="SOL"/>
    <x v="5"/>
    <n v="48782500244"/>
    <n v="4370042009"/>
    <s v="576.34M"/>
    <n v="576340000"/>
    <x v="0"/>
  </r>
  <r>
    <x v="7"/>
    <s v="TRX"/>
    <x v="6"/>
    <n v="32292490195"/>
    <n v="810662274"/>
    <s v="94.79B"/>
    <n v="94790000000"/>
    <x v="1"/>
  </r>
  <r>
    <x v="8"/>
    <s v="DOGE"/>
    <x v="7"/>
    <n v="18881775480"/>
    <n v="1658004162"/>
    <s v="169.82B"/>
    <n v="169820000000"/>
    <x v="1"/>
  </r>
  <r>
    <x v="9"/>
    <s v="HYPE"/>
    <x v="8"/>
    <n v="10954803211"/>
    <n v="314423799"/>
    <s v="254.7M"/>
    <n v="254700000"/>
    <x v="1"/>
  </r>
  <r>
    <x v="10"/>
    <s v="LEO"/>
    <x v="9"/>
    <n v="9508010388"/>
    <n v="465925"/>
    <s v="920.69M"/>
    <n v="920690000"/>
    <x v="1"/>
  </r>
  <r>
    <x v="11"/>
    <s v="ADA"/>
    <x v="10"/>
    <n v="9354644073"/>
    <n v="510150855"/>
    <s v="36.19B"/>
    <n v="36190000000"/>
    <x v="1"/>
  </r>
  <r>
    <x v="12"/>
    <s v="BCH"/>
    <x v="11"/>
    <n v="9112882354"/>
    <n v="292979455"/>
    <s v="20.03M"/>
    <n v="20030000"/>
    <x v="0"/>
  </r>
  <r>
    <x v="13"/>
    <s v="XMR"/>
    <x v="12"/>
    <n v="7478953329"/>
    <n v="138602766"/>
    <s v="18.44M"/>
    <n v="18440000"/>
    <x v="0"/>
  </r>
  <r>
    <x v="14"/>
    <s v="SPX"/>
    <x v="13"/>
    <n v="375235836"/>
    <n v="8194317"/>
    <s v="930.99M"/>
    <n v="930990000"/>
    <x v="1"/>
  </r>
  <r>
    <x v="15"/>
    <s v="SUN"/>
    <x v="14"/>
    <n v="369241408"/>
    <n v="67910537"/>
    <s v="19.21B"/>
    <n v="19210000000"/>
    <x v="1"/>
  </r>
  <r>
    <x v="16"/>
    <s v="MON"/>
    <x v="15"/>
    <n v="359533550"/>
    <n v="58166372"/>
    <s v="11.82B"/>
    <n v="11820000000"/>
    <x v="1"/>
  </r>
  <r>
    <x v="17"/>
    <s v="CRV"/>
    <x v="16"/>
    <n v="359475646"/>
    <n v="51921229"/>
    <s v="1.49B"/>
    <n v="1490000000"/>
    <x v="1"/>
  </r>
  <r>
    <x v="18"/>
    <s v="ETHFI"/>
    <x v="17"/>
    <n v="352989364"/>
    <n v="28432421"/>
    <s v="835.96M"/>
    <n v="835960000"/>
    <x v="1"/>
  </r>
  <r>
    <x v="19"/>
    <s v="B"/>
    <x v="18"/>
    <n v="349373651"/>
    <n v="95749672"/>
    <s v="1B"/>
    <n v="1000000000"/>
    <x v="1"/>
  </r>
  <r>
    <x v="20"/>
    <s v="GNO"/>
    <x v="19"/>
    <n v="348986468"/>
    <n v="4188648"/>
    <s v="2.63M"/>
    <n v="2630000"/>
    <x v="0"/>
  </r>
  <r>
    <x v="21"/>
    <s v="IMX"/>
    <x v="20"/>
    <n v="341752440"/>
    <n v="20322314"/>
    <s v="2B"/>
    <n v="2000000000"/>
    <x v="1"/>
  </r>
  <r>
    <x v="22"/>
    <s v="ZBCN"/>
    <x v="21"/>
    <n v="341449454"/>
    <n v="6843199"/>
    <s v="99.99B"/>
    <n v="99990000000"/>
    <x v="1"/>
  </r>
  <r>
    <x v="23"/>
    <s v="DCR"/>
    <x v="22"/>
    <n v="338637227"/>
    <n v="2983201"/>
    <s v="17.4M"/>
    <n v="17400000"/>
    <x v="1"/>
  </r>
  <r>
    <x v="24"/>
    <s v="TIA"/>
    <x v="23"/>
    <n v="337963581"/>
    <n v="48169940"/>
    <s v="913.24M"/>
    <n v="913240000"/>
    <x v="1"/>
  </r>
  <r>
    <x v="25"/>
    <s v="BSV"/>
    <x v="24"/>
    <n v="326867282"/>
    <n v="15411866"/>
    <s v="20.02M"/>
    <n v="20020000"/>
    <x v="1"/>
  </r>
  <r>
    <x v="26"/>
    <s v="CFX"/>
    <x v="25"/>
    <n v="321115259"/>
    <n v="23759002"/>
    <s v="5.2B"/>
    <n v="5200000000"/>
    <x v="1"/>
  </r>
  <r>
    <x v="27"/>
    <s v="BTT"/>
    <x v="26"/>
    <n v="318597644"/>
    <n v="8137351"/>
    <s v="987.03T"/>
    <n v="987030000000000"/>
    <x v="1"/>
  </r>
  <r>
    <x v="28"/>
    <s v="LDO"/>
    <x v="27"/>
    <n v="318245786"/>
    <n v="52395044"/>
    <s v="849.05M"/>
    <n v="849050000"/>
    <x v="1"/>
  </r>
  <r>
    <x v="29"/>
    <s v="RAIN"/>
    <x v="28"/>
    <n v="3564941435"/>
    <n v="19844492"/>
    <s v="478.4B"/>
    <n v="478400000000"/>
    <x v="1"/>
  </r>
  <r>
    <x v="30"/>
    <s v="HTX"/>
    <x v="29"/>
    <n v="1745352745"/>
    <n v="6719887"/>
    <s v="905.7T"/>
    <n v="905700000000000"/>
    <x v="1"/>
  </r>
  <r>
    <x v="31"/>
    <s v="USDf"/>
    <x v="30"/>
    <n v="1620920598"/>
    <n v="610355"/>
    <s v="1.62B"/>
    <n v="1620000000"/>
    <x v="1"/>
  </r>
  <r>
    <x v="32"/>
    <s v="USDY"/>
    <x v="31"/>
    <n v="1320164017"/>
    <n v="110637"/>
    <s v="1.17B"/>
    <n v="1170000000"/>
    <x v="1"/>
  </r>
  <r>
    <x v="33"/>
    <s v="CTM"/>
    <x v="32"/>
    <n v="979489925"/>
    <n v="2008835"/>
    <s v="4.45B"/>
    <n v="4450000000"/>
    <x v="1"/>
  </r>
  <r>
    <x v="34"/>
    <s v="JLP"/>
    <x v="33"/>
    <n v="927006953"/>
    <n v="5715095"/>
    <s v="236.68M"/>
    <n v="236680000"/>
    <x v="1"/>
  </r>
  <r>
    <x v="35"/>
    <s v="BDX"/>
    <x v="34"/>
    <n v="618624430"/>
    <n v="11420471"/>
    <s v="7.73B"/>
    <n v="7730000000"/>
    <x v="1"/>
  </r>
  <r>
    <x v="36"/>
    <s v="GHO"/>
    <x v="35"/>
    <n v="583813175"/>
    <n v="901520"/>
    <s v="584M"/>
    <n v="584000000"/>
    <x v="1"/>
  </r>
  <r>
    <x v="37"/>
    <s v="LAB"/>
    <x v="36"/>
    <n v="566710139"/>
    <n v="133102984"/>
    <s v="230.4M"/>
    <n v="230400000"/>
    <x v="1"/>
  </r>
  <r>
    <x v="38"/>
    <s v="USD0"/>
    <x v="37"/>
    <n v="566083831"/>
    <n v="26756"/>
    <s v="567.05M"/>
    <n v="567050000"/>
    <x v="1"/>
  </r>
  <r>
    <x v="39"/>
    <s v="USDAI"/>
    <x v="2"/>
    <n v="501283934"/>
    <n v="6351"/>
    <s v="501.35M"/>
    <n v="501350000"/>
    <x v="1"/>
  </r>
  <r>
    <x v="40"/>
    <s v="USX"/>
    <x v="38"/>
    <n v="359540661"/>
    <n v="371986"/>
    <s v="359.69M"/>
    <n v="359690000"/>
    <x v="1"/>
  </r>
  <r>
    <x v="41"/>
    <s v="DUCKY"/>
    <x v="39"/>
    <n v="333884830"/>
    <n v="315121"/>
    <s v="414.4B"/>
    <n v="414400000000"/>
    <x v="1"/>
  </r>
  <r>
    <x v="42"/>
    <s v="USDGO"/>
    <x v="2"/>
    <n v="315960326"/>
    <n v="2950958"/>
    <s v="316M"/>
    <n v="316000000"/>
    <x v="1"/>
  </r>
  <r>
    <x v="43"/>
    <s v="UB"/>
    <x v="40"/>
    <n v="313782073"/>
    <n v="44290617"/>
    <s v="2.5B"/>
    <n v="2500000000"/>
    <x v="1"/>
  </r>
  <r>
    <x v="44"/>
    <s v="WOULD"/>
    <x v="41"/>
    <n v="78992728"/>
    <n v="104056"/>
    <s v="999.45M"/>
    <n v="999450000"/>
    <x v="1"/>
  </r>
  <r>
    <x v="45"/>
    <s v="ROSE"/>
    <x v="42"/>
    <n v="77785248"/>
    <n v="3624063"/>
    <s v="7.58B"/>
    <n v="7580000000"/>
    <x v="1"/>
  </r>
  <r>
    <x v="46"/>
    <s v="UAI"/>
    <x v="43"/>
    <n v="77458357"/>
    <n v="4222586"/>
    <s v="239M"/>
    <n v="239000000"/>
    <x v="1"/>
  </r>
  <r>
    <x v="47"/>
    <s v="TOSHI"/>
    <x v="44"/>
    <n v="76871340"/>
    <n v="9361376"/>
    <s v="420.66B"/>
    <n v="420660000000"/>
    <x v="1"/>
  </r>
  <r>
    <x v="48"/>
    <s v="GMX"/>
    <x v="45"/>
    <n v="76512234"/>
    <n v="5776745"/>
    <s v="10.39M"/>
    <n v="10390000"/>
    <x v="1"/>
  </r>
  <r>
    <x v="49"/>
    <s v="BLUR"/>
    <x v="46"/>
    <n v="76087898"/>
    <n v="20449566"/>
    <s v="2.79B"/>
    <n v="2790000000"/>
    <x v="1"/>
  </r>
  <r>
    <x v="50"/>
    <s v="AMP"/>
    <x v="47"/>
    <n v="75794640"/>
    <n v="6708441"/>
    <s v="86.78B"/>
    <n v="86780000000"/>
    <x v="1"/>
  </r>
  <r>
    <x v="51"/>
    <s v="ACH"/>
    <x v="48"/>
    <n v="75524361"/>
    <n v="14560519"/>
    <s v="9.99B"/>
    <n v="9990000000"/>
    <x v="1"/>
  </r>
  <r>
    <x v="52"/>
    <s v="ASTR"/>
    <x v="49"/>
    <n v="75463656"/>
    <n v="3309716"/>
    <s v="8.68B"/>
    <n v="8680000000"/>
    <x v="1"/>
  </r>
  <r>
    <x v="53"/>
    <s v="RON"/>
    <x v="50"/>
    <n v="75180443"/>
    <n v="4171835"/>
    <s v="772.4M"/>
    <n v="772400000"/>
    <x v="1"/>
  </r>
  <r>
    <x v="54"/>
    <s v="HOT"/>
    <x v="51"/>
    <n v="74813247"/>
    <n v="5179120"/>
    <s v="175.85B"/>
    <n v="175850000000"/>
    <x v="1"/>
  </r>
  <r>
    <x v="55"/>
    <s v="CKB"/>
    <x v="52"/>
    <n v="74465832"/>
    <n v="3843359"/>
    <s v="48.7B"/>
    <n v="48700000000"/>
    <x v="1"/>
  </r>
  <r>
    <x v="56"/>
    <s v="FOGO"/>
    <x v="53"/>
    <n v="73660773"/>
    <n v="12584867"/>
    <s v="3.81B"/>
    <n v="3810000000"/>
    <x v="1"/>
  </r>
  <r>
    <x v="57"/>
    <s v="BAN"/>
    <x v="54"/>
    <n v="73396694"/>
    <n v="9247752"/>
    <s v="999.96M"/>
    <n v="999960000"/>
    <x v="1"/>
  </r>
  <r>
    <x v="58"/>
    <s v="ANKR"/>
    <x v="55"/>
    <n v="49902972"/>
    <n v="10783966"/>
    <s v="10B"/>
    <n v="10000000000"/>
    <x v="1"/>
  </r>
  <r>
    <x v="59"/>
    <s v="SRX"/>
    <x v="56"/>
    <n v="49630667"/>
    <n v="2546392"/>
    <s v="834M"/>
    <n v="834000000"/>
    <x v="1"/>
  </r>
  <r>
    <x v="60"/>
    <s v="LBT"/>
    <x v="57"/>
    <n v="49554211"/>
    <n v="480175"/>
    <s v="244.99M"/>
    <n v="244990000"/>
    <x v="1"/>
  </r>
  <r>
    <x v="61"/>
    <s v="MASK"/>
    <x v="58"/>
    <n v="49401484"/>
    <n v="16337624"/>
    <s v="100M"/>
    <n v="100000000"/>
    <x v="1"/>
  </r>
  <r>
    <x v="62"/>
    <s v="MERL"/>
    <x v="59"/>
    <n v="49367766"/>
    <n v="11683768"/>
    <s v="1.23B"/>
    <n v="1230000000"/>
    <x v="1"/>
  </r>
  <r>
    <x v="63"/>
    <s v="SSV"/>
    <x v="60"/>
    <n v="49258508"/>
    <n v="14061483"/>
    <s v="17.24M"/>
    <n v="17240000"/>
    <x v="1"/>
  </r>
  <r>
    <x v="64"/>
    <s v="PROVE"/>
    <x v="61"/>
    <n v="49022859"/>
    <n v="7136430"/>
    <s v="195M"/>
    <n v="195000000"/>
    <x v="1"/>
  </r>
  <r>
    <x v="65"/>
    <s v="HIVE"/>
    <x v="62"/>
    <n v="48908450"/>
    <n v="42177361"/>
    <s v="541.67M"/>
    <n v="541670000"/>
    <x v="1"/>
  </r>
  <r>
    <x v="66"/>
    <s v="TROLL"/>
    <x v="63"/>
    <n v="48582626"/>
    <n v="11400199"/>
    <s v="998.88M"/>
    <n v="998880000"/>
    <x v="1"/>
  </r>
  <r>
    <x v="67"/>
    <s v="ALT"/>
    <x v="64"/>
    <n v="48480192"/>
    <n v="7844929"/>
    <s v="6.16B"/>
    <n v="6160000000"/>
    <x v="1"/>
  </r>
  <r>
    <x v="68"/>
    <s v="SNT"/>
    <x v="65"/>
    <n v="48415639"/>
    <n v="3390339"/>
    <s v="4.8B"/>
    <n v="4800000000"/>
    <x v="1"/>
  </r>
  <r>
    <x v="69"/>
    <s v="XYO"/>
    <x v="66"/>
    <n v="47896221"/>
    <n v="6976369"/>
    <s v="13.72B"/>
    <n v="13720000000"/>
    <x v="1"/>
  </r>
  <r>
    <x v="70"/>
    <s v="SN44"/>
    <x v="67"/>
    <n v="47823099"/>
    <n v="3497033"/>
    <s v="4.31M"/>
    <n v="4310000"/>
    <x v="1"/>
  </r>
  <r>
    <x v="71"/>
    <s v="ATOS"/>
    <x v="68"/>
    <n v="36772464"/>
    <n v="19215"/>
    <s v="903.16M"/>
    <n v="903160000"/>
    <x v="1"/>
  </r>
  <r>
    <x v="72"/>
    <s v="MOB"/>
    <x v="69"/>
    <n v="36622824"/>
    <n v="6535"/>
    <s v="198.39M"/>
    <n v="198390000"/>
    <x v="1"/>
  </r>
  <r>
    <x v="73"/>
    <s v="GPS"/>
    <x v="70"/>
    <n v="36582048"/>
    <n v="4599592"/>
    <s v="4.51B"/>
    <n v="4510000000"/>
    <x v="1"/>
  </r>
  <r>
    <x v="74"/>
    <s v="BURN"/>
    <x v="71"/>
    <n v="36531693"/>
    <n v="66179"/>
    <s v="12.34M"/>
    <n v="12340000"/>
    <x v="1"/>
  </r>
  <r>
    <x v="75"/>
    <s v="DESO"/>
    <x v="72"/>
    <n v="36341538"/>
    <n v="28191"/>
    <s v="8.88M"/>
    <n v="8880000"/>
    <x v="1"/>
  </r>
  <r>
    <x v="76"/>
    <s v="ESP"/>
    <x v="73"/>
    <n v="36292516"/>
    <n v="8609320"/>
    <s v="520.55M"/>
    <n v="520549999.99999994"/>
    <x v="1"/>
  </r>
  <r>
    <x v="77"/>
    <s v="SNEK"/>
    <x v="74"/>
    <n v="36247561"/>
    <n v="8647908"/>
    <s v="74.71B"/>
    <n v="74710000000"/>
    <x v="1"/>
  </r>
  <r>
    <x v="78"/>
    <s v="STEEM"/>
    <x v="75"/>
    <n v="36176808"/>
    <n v="46397599"/>
    <s v="546.63M"/>
    <n v="546630000"/>
    <x v="1"/>
  </r>
  <r>
    <x v="79"/>
    <s v="PROM"/>
    <x v="76"/>
    <n v="36139094"/>
    <n v="2216355"/>
    <s v="18.25M"/>
    <n v="18250000"/>
    <x v="1"/>
  </r>
  <r>
    <x v="80"/>
    <s v="CYBER"/>
    <x v="77"/>
    <n v="36119506"/>
    <n v="6526938"/>
    <s v="65.95M"/>
    <n v="65950000"/>
    <x v="1"/>
  </r>
  <r>
    <x v="81"/>
    <s v="SCRT"/>
    <x v="78"/>
    <n v="36115608"/>
    <n v="1795181"/>
    <s v="339.24M"/>
    <n v="339240000"/>
    <x v="1"/>
  </r>
  <r>
    <x v="82"/>
    <s v="MVL"/>
    <x v="79"/>
    <n v="36061699"/>
    <n v="154445"/>
    <s v="27.8B"/>
    <n v="27800000000"/>
    <x v="1"/>
  </r>
  <r>
    <x v="83"/>
    <s v="DOGS"/>
    <x v="80"/>
    <n v="35979632"/>
    <n v="240360425"/>
    <s v="516.75B"/>
    <n v="516750000000"/>
    <x v="1"/>
  </r>
  <r>
    <x v="84"/>
    <s v="NOCK"/>
    <x v="81"/>
    <n v="35977126"/>
    <n v="957024"/>
    <s v="1.91B"/>
    <n v="1910000000"/>
    <x v="1"/>
  </r>
  <r>
    <x v="85"/>
    <s v="MLK"/>
    <x v="82"/>
    <n v="28654402"/>
    <n v="3740400"/>
    <s v="547.52M"/>
    <n v="547520000"/>
    <x v="1"/>
  </r>
  <r>
    <x v="86"/>
    <s v="XPIN"/>
    <x v="83"/>
    <n v="28629432"/>
    <n v="3495647"/>
    <s v="22.98B"/>
    <n v="22980000000"/>
    <x v="1"/>
  </r>
  <r>
    <x v="87"/>
    <s v="AUDIO"/>
    <x v="84"/>
    <n v="28613696"/>
    <n v="8979297"/>
    <s v="1.41B"/>
    <n v="1410000000"/>
    <x v="1"/>
  </r>
  <r>
    <x v="88"/>
    <s v="IQ"/>
    <x v="85"/>
    <n v="28562726"/>
    <n v="1218304"/>
    <s v="25.97B"/>
    <n v="25970000000"/>
    <x v="1"/>
  </r>
  <r>
    <x v="89"/>
    <s v="AIN"/>
    <x v="86"/>
    <n v="28515048"/>
    <n v="2590881"/>
    <s v="300.96M"/>
    <n v="300960000"/>
    <x v="1"/>
  </r>
  <r>
    <x v="90"/>
    <s v="UQC"/>
    <x v="87"/>
    <n v="28315966"/>
    <n v="25499"/>
    <s v="10M"/>
    <n v="10000000"/>
    <x v="1"/>
  </r>
  <r>
    <x v="91"/>
    <s v="LCX"/>
    <x v="88"/>
    <n v="28055991"/>
    <n v="147271"/>
    <s v="949.22M"/>
    <n v="949220000"/>
    <x v="1"/>
  </r>
  <r>
    <x v="92"/>
    <s v="C"/>
    <x v="89"/>
    <n v="27886592"/>
    <n v="8989160"/>
    <s v="340.28M"/>
    <n v="340280000"/>
    <x v="1"/>
  </r>
  <r>
    <x v="93"/>
    <s v="PHA"/>
    <x v="90"/>
    <n v="27886187"/>
    <n v="8565240"/>
    <s v="837.99M"/>
    <n v="837990000"/>
    <x v="1"/>
  </r>
  <r>
    <x v="94"/>
    <s v="UNS"/>
    <x v="91"/>
    <n v="27868195"/>
    <n v="1779"/>
    <s v="105.6M"/>
    <n v="105600000"/>
    <x v="1"/>
  </r>
  <r>
    <x v="95"/>
    <s v="USDB"/>
    <x v="92"/>
    <n v="22360485"/>
    <n v="1822"/>
    <s v="22.29M"/>
    <n v="22290000"/>
    <x v="1"/>
  </r>
  <r>
    <x v="96"/>
    <s v="XAUT0"/>
    <x v="93"/>
    <n v="22334334"/>
    <n v="350708"/>
    <s v="4.9K"/>
    <n v="4900"/>
    <x v="0"/>
  </r>
  <r>
    <x v="97"/>
    <s v="XAN"/>
    <x v="94"/>
    <n v="22236847"/>
    <n v="8451143"/>
    <s v="2.5B"/>
    <n v="2500000000"/>
    <x v="1"/>
  </r>
  <r>
    <x v="98"/>
    <s v="KAT"/>
    <x v="95"/>
    <n v="22191489"/>
    <n v="28738721"/>
    <s v="2.34B"/>
    <n v="2340000000"/>
    <x v="1"/>
  </r>
  <r>
    <x v="99"/>
    <s v="ZKC"/>
    <x v="96"/>
    <n v="22116898"/>
    <n v="7224072"/>
    <s v="290.64M"/>
    <n v="290640000"/>
    <x v="1"/>
  </r>
  <r>
    <x v="100"/>
    <s v="AIC"/>
    <x v="97"/>
    <n v="22001283"/>
    <n v="2012693"/>
    <s v="749.99M"/>
    <n v="749990000"/>
    <x v="1"/>
  </r>
  <r>
    <x v="101"/>
    <s v="HP"/>
    <x v="98"/>
    <n v="21953608"/>
    <n v="171678"/>
    <s v="1.35B"/>
    <n v="1350000000"/>
    <x v="1"/>
  </r>
  <r>
    <x v="102"/>
    <s v="BITCOIN"/>
    <x v="99"/>
    <n v="21930599"/>
    <n v="4072583"/>
    <s v="999.79M"/>
    <n v="999790000"/>
    <x v="1"/>
  </r>
  <r>
    <x v="103"/>
    <s v="UP"/>
    <x v="100"/>
    <n v="21878494"/>
    <n v="1243931"/>
    <s v="146M"/>
    <n v="146000000"/>
    <x v="1"/>
  </r>
  <r>
    <x v="104"/>
    <s v="F"/>
    <x v="101"/>
    <n v="21730464"/>
    <n v="12094961"/>
    <s v="3.89B"/>
    <n v="3890000000"/>
    <x v="1"/>
  </r>
  <r>
    <x v="105"/>
    <s v="TX"/>
    <x v="49"/>
    <n v="21691383"/>
    <n v="118940"/>
    <s v="2.48B"/>
    <n v="2480000000"/>
    <x v="1"/>
  </r>
  <r>
    <x v="106"/>
    <s v="CELR"/>
    <x v="102"/>
    <n v="21670440"/>
    <n v="4183657"/>
    <s v="7.8B"/>
    <n v="7800000000"/>
    <x v="1"/>
  </r>
  <r>
    <x v="107"/>
    <s v="MAGIC"/>
    <x v="103"/>
    <n v="21662370"/>
    <n v="5337772"/>
    <s v="328.03M"/>
    <n v="328030000"/>
    <x v="1"/>
  </r>
  <r>
    <x v="108"/>
    <s v="FLOCK"/>
    <x v="104"/>
    <n v="21591583"/>
    <n v="3442353"/>
    <s v="361.14M"/>
    <n v="361140000"/>
    <x v="1"/>
  </r>
  <r>
    <x v="109"/>
    <s v="VEREM"/>
    <x v="105"/>
    <n v="17027990"/>
    <n v="169029"/>
    <s v="2.5M"/>
    <n v="2500000"/>
    <x v="1"/>
  </r>
  <r>
    <x v="110"/>
    <s v="XNY"/>
    <x v="106"/>
    <n v="16992885"/>
    <n v="16268438"/>
    <s v="2.5B"/>
    <n v="2500000000"/>
    <x v="1"/>
  </r>
  <r>
    <x v="111"/>
    <s v="ELSA"/>
    <x v="107"/>
    <n v="16898033"/>
    <n v="4954639"/>
    <s v="228.98M"/>
    <n v="228980000"/>
    <x v="1"/>
  </r>
  <r>
    <x v="112"/>
    <s v="B3"/>
    <x v="51"/>
    <n v="16882309"/>
    <n v="15285861"/>
    <s v="46.43B"/>
    <n v="46430000000"/>
    <x v="1"/>
  </r>
  <r>
    <x v="113"/>
    <s v="NOS"/>
    <x v="108"/>
    <n v="16789468"/>
    <n v="240379"/>
    <s v="71.28M"/>
    <n v="71280000"/>
    <x v="1"/>
  </r>
  <r>
    <x v="114"/>
    <s v="LIBERTY"/>
    <x v="109"/>
    <n v="16518027"/>
    <n v="219281"/>
    <s v="1B"/>
    <n v="1000000000"/>
    <x v="1"/>
  </r>
  <r>
    <x v="115"/>
    <s v="BANANA"/>
    <x v="110"/>
    <n v="16444782"/>
    <n v="17540243"/>
    <s v="4M"/>
    <n v="4000000"/>
    <x v="1"/>
  </r>
  <r>
    <x v="116"/>
    <s v="FOLKS"/>
    <x v="111"/>
    <n v="16435362"/>
    <n v="2577378"/>
    <s v="12.19M"/>
    <n v="12190000"/>
    <x v="1"/>
  </r>
  <r>
    <x v="117"/>
    <s v="DORA"/>
    <x v="112"/>
    <n v="16409662"/>
    <n v="45011"/>
    <s v="990.08M"/>
    <n v="990080000"/>
    <x v="1"/>
  </r>
  <r>
    <x v="118"/>
    <s v="FIRO"/>
    <x v="113"/>
    <n v="16384951"/>
    <n v="352268"/>
    <s v="18.55M"/>
    <n v="18550000"/>
    <x v="1"/>
  </r>
  <r>
    <x v="119"/>
    <s v="SDEX"/>
    <x v="114"/>
    <n v="16382832"/>
    <n v="458388"/>
    <s v="9.79B"/>
    <n v="9790000000"/>
    <x v="1"/>
  </r>
  <r>
    <x v="120"/>
    <s v="PAAL"/>
    <x v="115"/>
    <n v="13016968"/>
    <n v="1674459"/>
    <s v="998.83M"/>
    <n v="998830000"/>
    <x v="1"/>
  </r>
  <r>
    <x v="121"/>
    <s v="GNS"/>
    <x v="116"/>
    <n v="12972112"/>
    <n v="1631522"/>
    <s v="24.01M"/>
    <n v="24010000"/>
    <x v="1"/>
  </r>
  <r>
    <x v="122"/>
    <s v="MPLX"/>
    <x v="117"/>
    <n v="12936920"/>
    <n v="504625"/>
    <s v="515.73M"/>
    <n v="515730000"/>
    <x v="1"/>
  </r>
  <r>
    <x v="123"/>
    <s v="QI"/>
    <x v="118"/>
    <n v="12762794"/>
    <n v="1014807"/>
    <s v="7.2B"/>
    <n v="7200000000"/>
    <x v="1"/>
  </r>
  <r>
    <x v="124"/>
    <s v="IXS"/>
    <x v="119"/>
    <n v="12753001"/>
    <n v="64060"/>
    <s v="180M"/>
    <n v="180000000"/>
    <x v="1"/>
  </r>
  <r>
    <x v="125"/>
    <s v="BOB"/>
    <x v="120"/>
    <n v="12706172"/>
    <n v="6846074"/>
    <s v="2.22B"/>
    <n v="2220000000"/>
    <x v="1"/>
  </r>
  <r>
    <x v="126"/>
    <s v="OVPP"/>
    <x v="121"/>
    <n v="12705874"/>
    <n v="1443682"/>
    <s v="805M"/>
    <n v="805000000"/>
    <x v="1"/>
  </r>
  <r>
    <x v="127"/>
    <s v="MAGA"/>
    <x v="115"/>
    <n v="12739694"/>
    <n v="4292556"/>
    <s v="978.22M"/>
    <n v="978220000"/>
    <x v="1"/>
  </r>
  <r>
    <x v="128"/>
    <s v="PYR"/>
    <x v="122"/>
    <n v="12595161"/>
    <n v="3376620"/>
    <s v="46.03M"/>
    <n v="46030000"/>
    <x v="1"/>
  </r>
  <r>
    <x v="129"/>
    <s v="VANRY"/>
    <x v="123"/>
    <n v="12567258"/>
    <n v="1521346"/>
    <s v="2.37B"/>
    <n v="2370000000"/>
    <x v="1"/>
  </r>
  <r>
    <x v="130"/>
    <s v="DSYNC"/>
    <x v="124"/>
    <n v="12556319"/>
    <n v="2832253"/>
    <s v="974.94M"/>
    <n v="974940000"/>
    <x v="1"/>
  </r>
  <r>
    <x v="131"/>
    <s v="BOBA"/>
    <x v="125"/>
    <n v="12573335"/>
    <n v="6196914"/>
    <s v="493.58M"/>
    <n v="493580000"/>
    <x v="1"/>
  </r>
  <r>
    <x v="132"/>
    <s v="TRUST"/>
    <x v="126"/>
    <n v="12435790"/>
    <n v="1719441"/>
    <s v="179.64M"/>
    <n v="179640000"/>
    <x v="1"/>
  </r>
  <r>
    <x v="133"/>
    <s v="GLEEC"/>
    <x v="127"/>
    <n v="10049383"/>
    <n v="1492"/>
    <s v="181.75M"/>
    <n v="181750000"/>
    <x v="1"/>
  </r>
  <r>
    <x v="134"/>
    <s v="D"/>
    <x v="128"/>
    <n v="10029328"/>
    <n v="25387118"/>
    <s v="743.51M"/>
    <n v="743510000"/>
    <x v="1"/>
  </r>
  <r>
    <x v="135"/>
    <s v="BKN"/>
    <x v="129"/>
    <n v="10027388"/>
    <n v="206188"/>
    <s v="80.65M"/>
    <n v="80650000"/>
    <x v="1"/>
  </r>
  <r>
    <x v="136"/>
    <s v="PUFFER"/>
    <x v="130"/>
    <n v="10015365"/>
    <n v="5420695"/>
    <s v="438.27M"/>
    <n v="438270000"/>
    <x v="1"/>
  </r>
  <r>
    <x v="137"/>
    <s v="MLN"/>
    <x v="131"/>
    <n v="9989273"/>
    <n v="2308942"/>
    <s v="3.27M"/>
    <n v="3270000"/>
    <x v="1"/>
  </r>
  <r>
    <x v="138"/>
    <s v="APX"/>
    <x v="132"/>
    <n v="9962766"/>
    <n v="247"/>
    <s v="44.16M"/>
    <n v="44160000"/>
    <x v="1"/>
  </r>
  <r>
    <x v="139"/>
    <s v="ANYONE"/>
    <x v="133"/>
    <n v="9959867"/>
    <n v="207492"/>
    <s v="97.49M"/>
    <n v="97490000"/>
    <x v="1"/>
  </r>
  <r>
    <x v="140"/>
    <s v="XION"/>
    <x v="134"/>
    <n v="9940644"/>
    <n v="5626294"/>
    <s v="72.53M"/>
    <n v="72530000"/>
    <x v="1"/>
  </r>
  <r>
    <x v="141"/>
    <s v="IAG"/>
    <x v="135"/>
    <n v="9883568"/>
    <n v="18345936"/>
    <s v="376.02M"/>
    <n v="376020000"/>
    <x v="1"/>
  </r>
  <r>
    <x v="142"/>
    <s v="FUSD"/>
    <x v="92"/>
    <n v="9800517"/>
    <n v="166324"/>
    <s v="9.8M"/>
    <n v="9800000"/>
    <x v="1"/>
  </r>
  <r>
    <x v="143"/>
    <s v="ATA"/>
    <x v="136"/>
    <n v="9763941"/>
    <n v="1426829"/>
    <s v="946.59M"/>
    <n v="946590000"/>
    <x v="1"/>
  </r>
  <r>
    <x v="144"/>
    <s v="BOX"/>
    <x v="14"/>
    <n v="9758424"/>
    <n v="18325"/>
    <s v="508.21M"/>
    <n v="508210000"/>
    <x v="1"/>
  </r>
  <r>
    <x v="145"/>
    <s v="AIA"/>
    <x v="137"/>
    <n v="9693432"/>
    <n v="4254486"/>
    <s v="188.95M"/>
    <n v="188950000"/>
    <x v="1"/>
  </r>
  <r>
    <x v="146"/>
    <s v="BTR"/>
    <x v="138"/>
    <n v="9632912"/>
    <n v="3432304"/>
    <s v="333.28M"/>
    <n v="333280000"/>
    <x v="1"/>
  </r>
  <r>
    <x v="147"/>
    <s v="AKE"/>
    <x v="139"/>
    <n v="7622156"/>
    <n v="1000628"/>
    <s v="22.79B"/>
    <n v="22790000000"/>
    <x v="1"/>
  </r>
  <r>
    <x v="148"/>
    <s v="TAKE"/>
    <x v="140"/>
    <n v="7606709"/>
    <n v="975171"/>
    <s v="269.48M"/>
    <n v="269480000"/>
    <x v="1"/>
  </r>
  <r>
    <x v="149"/>
    <s v="KLV"/>
    <x v="39"/>
    <n v="7531508"/>
    <n v="189566"/>
    <s v="8.88B"/>
    <n v="8880000000"/>
    <x v="1"/>
  </r>
  <r>
    <x v="150"/>
    <s v="NFP"/>
    <x v="115"/>
    <n v="7501703"/>
    <n v="4979361"/>
    <s v="576.13M"/>
    <n v="576130000"/>
    <x v="1"/>
  </r>
  <r>
    <x v="151"/>
    <s v="HEI"/>
    <x v="141"/>
    <n v="7490664"/>
    <n v="2005182"/>
    <s v="88.02M"/>
    <n v="88020000"/>
    <x v="1"/>
  </r>
  <r>
    <x v="152"/>
    <s v="JUV"/>
    <x v="142"/>
    <n v="7453837"/>
    <n v="2792207"/>
    <s v="15.21M"/>
    <n v="15210000"/>
    <x v="1"/>
  </r>
  <r>
    <x v="153"/>
    <s v="YEE"/>
    <x v="143"/>
    <n v="7442214"/>
    <n v="1311385"/>
    <s v="1B"/>
    <n v="1000000000"/>
    <x v="1"/>
  </r>
  <r>
    <x v="154"/>
    <s v="STC"/>
    <x v="44"/>
    <n v="7430120"/>
    <n v="59825"/>
    <s v="44.7B"/>
    <n v="44700000000"/>
    <x v="1"/>
  </r>
  <r>
    <x v="155"/>
    <s v="MINIMA"/>
    <x v="144"/>
    <n v="7415834"/>
    <n v="127333"/>
    <s v="553.36M"/>
    <n v="553360000"/>
    <x v="1"/>
  </r>
  <r>
    <x v="156"/>
    <s v="CITY"/>
    <x v="145"/>
    <n v="7387552"/>
    <n v="4572811"/>
    <s v="13.17M"/>
    <n v="13170000"/>
    <x v="1"/>
  </r>
  <r>
    <x v="157"/>
    <s v="NEON"/>
    <x v="146"/>
    <n v="7385349"/>
    <n v="663168"/>
    <s v="239.46M"/>
    <n v="239460000"/>
    <x v="1"/>
  </r>
  <r>
    <x v="158"/>
    <s v="RACA"/>
    <x v="147"/>
    <n v="7370851"/>
    <n v="1583320"/>
    <s v="411.67B"/>
    <n v="411670000000"/>
    <x v="1"/>
  </r>
  <r>
    <x v="159"/>
    <s v="PIVX"/>
    <x v="148"/>
    <n v="7356492"/>
    <n v="3015870"/>
    <s v="102.68M"/>
    <n v="102680000"/>
    <x v="1"/>
  </r>
  <r>
    <x v="160"/>
    <s v="GP"/>
    <x v="149"/>
    <n v="5777203"/>
    <n v="407424"/>
    <s v="34.79M"/>
    <n v="34790000"/>
    <x v="1"/>
  </r>
  <r>
    <x v="161"/>
    <s v="M87"/>
    <x v="150"/>
    <n v="5771980"/>
    <n v="274469"/>
    <s v="884.84B"/>
    <n v="884840000000"/>
    <x v="1"/>
  </r>
  <r>
    <x v="162"/>
    <s v="WALLET"/>
    <x v="151"/>
    <n v="5766691"/>
    <n v="11932"/>
    <s v="690.75M"/>
    <n v="690750000"/>
    <x v="1"/>
  </r>
  <r>
    <x v="163"/>
    <s v="SPA"/>
    <x v="102"/>
    <n v="5761661"/>
    <n v="1787147"/>
    <s v="2.04B"/>
    <n v="2040000000"/>
    <x v="1"/>
  </r>
  <r>
    <x v="164"/>
    <s v="SEND"/>
    <x v="152"/>
    <n v="5753639"/>
    <n v="108666"/>
    <s v="68.3M"/>
    <n v="68300000"/>
    <x v="1"/>
  </r>
  <r>
    <x v="165"/>
    <s v="EPIC"/>
    <x v="153"/>
    <n v="5733753"/>
    <n v="4543"/>
    <s v="17.27M"/>
    <n v="17270000"/>
    <x v="1"/>
  </r>
  <r>
    <x v="166"/>
    <s v="SCOR"/>
    <x v="154"/>
    <n v="5682023"/>
    <n v="288951"/>
    <s v="329.38M"/>
    <n v="329380000"/>
    <x v="1"/>
  </r>
  <r>
    <x v="167"/>
    <s v="CRETA"/>
    <x v="155"/>
    <n v="5659011"/>
    <n v="100203"/>
    <s v="2.8B"/>
    <n v="2800000000"/>
    <x v="1"/>
  </r>
  <r>
    <x v="168"/>
    <s v="CTA"/>
    <x v="156"/>
    <n v="5646848"/>
    <n v="571373"/>
    <s v="500M"/>
    <n v="500000000"/>
    <x v="1"/>
  </r>
  <r>
    <x v="169"/>
    <s v="REAL"/>
    <x v="157"/>
    <n v="5643737"/>
    <n v="93060"/>
    <s v="663.49M"/>
    <n v="663490000"/>
    <x v="1"/>
  </r>
  <r>
    <x v="170"/>
    <s v="ACM"/>
    <x v="158"/>
    <n v="5620978"/>
    <n v="2299164"/>
    <s v="13.22M"/>
    <n v="13220000"/>
    <x v="1"/>
  </r>
  <r>
    <x v="171"/>
    <s v="UTK"/>
    <x v="64"/>
    <n v="5596291"/>
    <n v="5108168"/>
    <s v="704.06M"/>
    <n v="704060000"/>
    <x v="1"/>
  </r>
  <r>
    <x v="172"/>
    <s v="EAT"/>
    <x v="159"/>
    <n v="5589547"/>
    <n v="439672"/>
    <s v="213.14M"/>
    <n v="213140000"/>
    <x v="1"/>
  </r>
  <r>
    <x v="173"/>
    <s v="DMD"/>
    <x v="160"/>
    <n v="5570378"/>
    <n v="43131"/>
    <s v="3.68M"/>
    <n v="3680000"/>
    <x v="1"/>
  </r>
  <r>
    <x v="174"/>
    <s v="PX"/>
    <x v="161"/>
    <n v="4380039"/>
    <n v="91581"/>
    <s v="195.42M"/>
    <n v="195420000"/>
    <x v="1"/>
  </r>
  <r>
    <x v="175"/>
    <s v="WOJAK"/>
    <x v="162"/>
    <n v="4328225"/>
    <n v="836876"/>
    <s v="999.95M"/>
    <n v="999950000"/>
    <x v="1"/>
  </r>
  <r>
    <x v="176"/>
    <s v="CLV"/>
    <x v="66"/>
    <n v="4296555"/>
    <n v="1384270"/>
    <s v="1.22B"/>
    <n v="1220000000"/>
    <x v="1"/>
  </r>
  <r>
    <x v="177"/>
    <s v="NODL"/>
    <x v="163"/>
    <n v="4354066"/>
    <n v="76258"/>
    <s v="6.41B"/>
    <n v="6410000000"/>
    <x v="1"/>
  </r>
  <r>
    <x v="178"/>
    <s v="ROAM"/>
    <x v="164"/>
    <n v="4287822"/>
    <n v="957517"/>
    <s v="347.48M"/>
    <n v="347480000"/>
    <x v="1"/>
  </r>
  <r>
    <x v="179"/>
    <s v="BTR"/>
    <x v="165"/>
    <n v="4257072"/>
    <n v="400525"/>
    <s v="358.14M"/>
    <n v="358140000"/>
    <x v="1"/>
  </r>
  <r>
    <x v="180"/>
    <s v="ST"/>
    <x v="166"/>
    <n v="4250788"/>
    <n v="196774617"/>
    <s v="56M"/>
    <n v="56000000"/>
    <x v="1"/>
  </r>
  <r>
    <x v="181"/>
    <s v="SUKU"/>
    <x v="167"/>
    <n v="4248114"/>
    <n v="88184"/>
    <s v="598.54M"/>
    <n v="598540000"/>
    <x v="1"/>
  </r>
  <r>
    <x v="182"/>
    <s v="FUN"/>
    <x v="51"/>
    <n v="4242300"/>
    <n v="4868999"/>
    <s v="10.8B"/>
    <n v="10800000000"/>
    <x v="1"/>
  </r>
  <r>
    <x v="183"/>
    <s v="PUSS"/>
    <x v="168"/>
    <n v="4239610"/>
    <n v="961602"/>
    <s v="878.82M"/>
    <n v="878820000"/>
    <x v="1"/>
  </r>
  <r>
    <x v="184"/>
    <s v="ALEPH"/>
    <x v="169"/>
    <n v="4238819"/>
    <n v="171142"/>
    <s v="247.22M"/>
    <n v="247220000"/>
    <x v="1"/>
  </r>
  <r>
    <x v="185"/>
    <s v="POP"/>
    <x v="118"/>
    <n v="4222800"/>
    <n v="1525440"/>
    <s v="2.38B"/>
    <n v="2380000000"/>
    <x v="1"/>
  </r>
  <r>
    <x v="186"/>
    <s v="ROLL"/>
    <x v="46"/>
    <n v="4217750"/>
    <n v="217398"/>
    <s v="155M"/>
    <n v="155000000"/>
    <x v="1"/>
  </r>
  <r>
    <x v="187"/>
    <s v="SPECTRE"/>
    <x v="170"/>
    <n v="4208051"/>
    <n v="268933"/>
    <s v="9.99M"/>
    <n v="9990000"/>
    <x v="1"/>
  </r>
  <r>
    <x v="188"/>
    <s v="P2P"/>
    <x v="80"/>
    <n v="3273442"/>
    <n v="77548"/>
    <s v="34.31B"/>
    <n v="34310000000.000004"/>
    <x v="1"/>
  </r>
  <r>
    <x v="189"/>
    <s v="WNCG"/>
    <x v="171"/>
    <n v="3264324"/>
    <n v="90792"/>
    <s v="608.08M"/>
    <n v="608080000"/>
    <x v="1"/>
  </r>
  <r>
    <x v="190"/>
    <s v="BIOT"/>
    <x v="51"/>
    <n v="3246931"/>
    <n v="60673"/>
    <s v="8.79B"/>
    <n v="8790000000"/>
    <x v="1"/>
  </r>
  <r>
    <x v="191"/>
    <s v="VEUR"/>
    <x v="172"/>
    <n v="3235574"/>
    <n v="6206"/>
    <s v="2.76M"/>
    <n v="2760000"/>
    <x v="1"/>
  </r>
  <r>
    <x v="192"/>
    <s v="ROA"/>
    <x v="173"/>
    <n v="3231631"/>
    <n v="22713"/>
    <s v="735M"/>
    <n v="735000000"/>
    <x v="1"/>
  </r>
  <r>
    <x v="193"/>
    <s v="GEAR"/>
    <x v="139"/>
    <n v="3224365"/>
    <n v="90"/>
    <s v="10B"/>
    <n v="10000000000"/>
    <x v="1"/>
  </r>
  <r>
    <x v="194"/>
    <s v="TRUF"/>
    <x v="174"/>
    <n v="3220001"/>
    <n v="148404"/>
    <s v="521.85M"/>
    <n v="521850000"/>
    <x v="1"/>
  </r>
  <r>
    <x v="195"/>
    <s v="PUNDIAI"/>
    <x v="175"/>
    <n v="3213497"/>
    <n v="109259"/>
    <s v="7.05M"/>
    <n v="7050000"/>
    <x v="1"/>
  </r>
  <r>
    <x v="196"/>
    <s v="XEP"/>
    <x v="44"/>
    <n v="3210880"/>
    <n v="116467"/>
    <s v="18.4B"/>
    <n v="18400000000"/>
    <x v="1"/>
  </r>
  <r>
    <x v="197"/>
    <s v="PEIPEI"/>
    <x v="176"/>
    <n v="3203582"/>
    <n v="331042"/>
    <s v="420.68T"/>
    <n v="420680000000000"/>
    <x v="1"/>
  </r>
  <r>
    <x v="198"/>
    <s v="XTER"/>
    <x v="98"/>
    <n v="3168914"/>
    <n v="3384846"/>
    <s v="196.07M"/>
    <n v="196070000"/>
    <x v="1"/>
  </r>
  <r>
    <x v="199"/>
    <s v="BID"/>
    <x v="177"/>
    <n v="3142220"/>
    <n v="189339"/>
    <s v="385.37M"/>
    <n v="385370000"/>
    <x v="1"/>
  </r>
  <r>
    <x v="200"/>
    <s v="WOD"/>
    <x v="178"/>
    <n v="3142839"/>
    <n v="549476"/>
    <s v="494.59M"/>
    <n v="494590000"/>
    <x v="1"/>
  </r>
  <r>
    <x v="201"/>
    <s v="SCA"/>
    <x v="112"/>
    <n v="2591703"/>
    <n v="1053142"/>
    <s v="155.69M"/>
    <n v="155690000"/>
    <x v="1"/>
  </r>
  <r>
    <x v="202"/>
    <s v="LOL"/>
    <x v="179"/>
    <n v="2600548"/>
    <n v="1628387"/>
    <s v="992.24M"/>
    <n v="992240000"/>
    <x v="1"/>
  </r>
  <r>
    <x v="203"/>
    <s v="PENGUIN"/>
    <x v="179"/>
    <n v="2572838"/>
    <n v="3482250"/>
    <s v="999.93M"/>
    <n v="999930000"/>
    <x v="1"/>
  </r>
  <r>
    <x v="204"/>
    <s v="MAY"/>
    <x v="180"/>
    <n v="2572273"/>
    <n v="3294327"/>
    <s v="433.34M"/>
    <n v="433340000"/>
    <x v="1"/>
  </r>
  <r>
    <x v="205"/>
    <s v="DEOD"/>
    <x v="181"/>
    <n v="2571138"/>
    <n v="346533"/>
    <s v="464.39M"/>
    <n v="464390000"/>
    <x v="1"/>
  </r>
  <r>
    <x v="206"/>
    <s v="PLU"/>
    <x v="182"/>
    <n v="2563202"/>
    <n v="22121"/>
    <s v="16.99M"/>
    <n v="16990000"/>
    <x v="1"/>
  </r>
  <r>
    <x v="207"/>
    <s v="MDT"/>
    <x v="183"/>
    <n v="2557902"/>
    <n v="384052"/>
    <s v="676.15M"/>
    <n v="676150000"/>
    <x v="1"/>
  </r>
  <r>
    <x v="208"/>
    <s v="CWEB"/>
    <x v="184"/>
    <n v="2551273"/>
    <n v="105796"/>
    <s v="2.45B"/>
    <n v="2450000000"/>
    <x v="1"/>
  </r>
  <r>
    <x v="209"/>
    <s v="SHIB"/>
    <x v="185"/>
    <n v="2550909"/>
    <n v="2615"/>
    <s v="674.07T"/>
    <n v="674070000000000"/>
    <x v="1"/>
  </r>
  <r>
    <x v="210"/>
    <s v="MOON"/>
    <x v="186"/>
    <n v="2548956"/>
    <n v="1244"/>
    <s v="106.77M"/>
    <n v="106770000"/>
    <x v="1"/>
  </r>
  <r>
    <x v="211"/>
    <s v="PART"/>
    <x v="187"/>
    <n v="2149050"/>
    <n v="53706"/>
    <s v="15.63M"/>
    <n v="15630000"/>
    <x v="1"/>
  </r>
  <r>
    <x v="212"/>
    <s v="KYVE"/>
    <x v="118"/>
    <n v="2138044"/>
    <n v="3415"/>
    <s v="1.18B"/>
    <n v="1180000000"/>
    <x v="1"/>
  </r>
  <r>
    <x v="213"/>
    <s v="WIKEN"/>
    <x v="155"/>
    <n v="2131950"/>
    <n v="98794"/>
    <s v="1.05B"/>
    <n v="1050000000"/>
    <x v="1"/>
  </r>
  <r>
    <x v="214"/>
    <s v="PIRATE"/>
    <x v="188"/>
    <n v="2129931"/>
    <n v="498106"/>
    <s v="535.21M"/>
    <n v="535210000.00000006"/>
    <x v="1"/>
  </r>
  <r>
    <x v="215"/>
    <s v="NXRA"/>
    <x v="155"/>
    <n v="2123077"/>
    <n v="19440"/>
    <s v="1.04B"/>
    <n v="1040000000"/>
    <x v="1"/>
  </r>
  <r>
    <x v="216"/>
    <s v="SHPING"/>
    <x v="47"/>
    <n v="2122698"/>
    <n v="197032"/>
    <s v="2.28B"/>
    <n v="2280000000"/>
    <x v="1"/>
  </r>
  <r>
    <x v="217"/>
    <s v="GFAL"/>
    <x v="74"/>
    <n v="2122315"/>
    <n v="45"/>
    <s v="3.99B"/>
    <n v="3990000000"/>
    <x v="1"/>
  </r>
  <r>
    <x v="218"/>
    <s v="LUCA"/>
    <x v="189"/>
    <n v="2117779"/>
    <n v="101934"/>
    <s v="6.37M"/>
    <n v="6370000"/>
    <x v="1"/>
  </r>
  <r>
    <x v="219"/>
    <s v="X"/>
    <x v="190"/>
    <n v="2116526"/>
    <n v="52628"/>
    <s v="150M"/>
    <n v="150000000"/>
    <x v="1"/>
  </r>
  <r>
    <x v="220"/>
    <s v="GHOST"/>
    <x v="191"/>
    <n v="2109365"/>
    <n v="85018"/>
    <s v="999.98M"/>
    <n v="999980000"/>
    <x v="1"/>
  </r>
  <r>
    <x v="221"/>
    <s v="SIGNA"/>
    <x v="184"/>
    <n v="2108672"/>
    <n v="13019"/>
    <s v="2.12B"/>
    <n v="2120000000"/>
    <x v="1"/>
  </r>
  <r>
    <x v="222"/>
    <s v="XPM"/>
    <x v="192"/>
    <n v="2100605"/>
    <n v="226"/>
    <s v="57.85M"/>
    <n v="57850000"/>
    <x v="1"/>
  </r>
  <r>
    <x v="223"/>
    <s v="HELLO"/>
    <x v="193"/>
    <n v="2098289"/>
    <n v="57767"/>
    <s v="731.58M"/>
    <n v="731580000"/>
    <x v="1"/>
  </r>
  <r>
    <x v="224"/>
    <s v="CA"/>
    <x v="194"/>
    <n v="2095611"/>
    <n v="974625"/>
    <s v="9.67M"/>
    <n v="9670000"/>
    <x v="1"/>
  </r>
  <r>
    <x v="225"/>
    <s v="MONKY"/>
    <x v="195"/>
    <n v="1751984"/>
    <n v="129933"/>
    <s v="8.5T"/>
    <n v="8500000000000"/>
    <x v="1"/>
  </r>
  <r>
    <x v="226"/>
    <s v="DNX"/>
    <x v="196"/>
    <n v="1743132"/>
    <n v="35341"/>
    <s v="107.13M"/>
    <n v="107130000"/>
    <x v="1"/>
  </r>
  <r>
    <x v="227"/>
    <s v="ACT"/>
    <x v="197"/>
    <n v="1742134"/>
    <n v="30616"/>
    <s v="1.25B"/>
    <n v="1250000000"/>
    <x v="1"/>
  </r>
  <r>
    <x v="228"/>
    <s v="NMT"/>
    <x v="198"/>
    <n v="1741360"/>
    <n v="76076"/>
    <s v="33.45M"/>
    <n v="33450000.000000004"/>
    <x v="1"/>
  </r>
  <r>
    <x v="229"/>
    <s v="NUB"/>
    <x v="118"/>
    <n v="1738604"/>
    <n v="495271"/>
    <s v="950M"/>
    <n v="950000000"/>
    <x v="1"/>
  </r>
  <r>
    <x v="230"/>
    <s v="MTA"/>
    <x v="199"/>
    <n v="1732632"/>
    <n v="5"/>
    <s v="55.41M"/>
    <n v="55410000"/>
    <x v="1"/>
  </r>
  <r>
    <x v="231"/>
    <s v="BULL"/>
    <x v="118"/>
    <n v="1730416"/>
    <n v="52131"/>
    <s v="950.27M"/>
    <n v="950270000"/>
    <x v="1"/>
  </r>
  <r>
    <x v="232"/>
    <s v="TRADE"/>
    <x v="200"/>
    <n v="1728611"/>
    <n v="150993"/>
    <s v="41.28M"/>
    <n v="41280000"/>
    <x v="1"/>
  </r>
  <r>
    <x v="233"/>
    <s v="AZIT"/>
    <x v="188"/>
    <n v="1716480"/>
    <n v="112276"/>
    <s v="429.81M"/>
    <n v="429810000"/>
    <x v="1"/>
  </r>
  <r>
    <x v="234"/>
    <s v="PERP"/>
    <x v="201"/>
    <n v="1714570"/>
    <n v="241443"/>
    <s v="66M"/>
    <n v="66000000"/>
    <x v="1"/>
  </r>
  <r>
    <x v="235"/>
    <s v="SLERF"/>
    <x v="21"/>
    <n v="1695550"/>
    <n v="30913"/>
    <s v="499.99M"/>
    <n v="499990000"/>
    <x v="1"/>
  </r>
  <r>
    <x v="236"/>
    <s v="ARIO"/>
    <x v="102"/>
    <n v="1694329"/>
    <n v="3195"/>
    <s v="614.89M"/>
    <n v="614890000"/>
    <x v="1"/>
  </r>
  <r>
    <x v="237"/>
    <s v="SNC"/>
    <x v="202"/>
    <n v="1676898"/>
    <n v="190087"/>
    <s v="70.97M"/>
    <n v="70970000"/>
    <x v="1"/>
  </r>
  <r>
    <x v="238"/>
    <s v="GAIA"/>
    <x v="70"/>
    <n v="1377090"/>
    <n v="975854"/>
    <s v="170M"/>
    <n v="170000000"/>
    <x v="1"/>
  </r>
  <r>
    <x v="239"/>
    <s v="AEROBUD"/>
    <x v="197"/>
    <n v="1376470"/>
    <n v="73985"/>
    <s v="970M"/>
    <n v="970000000"/>
    <x v="1"/>
  </r>
  <r>
    <x v="240"/>
    <s v="VISTA"/>
    <x v="203"/>
    <n v="1370889"/>
    <n v="64297"/>
    <s v="939.21K"/>
    <n v="939210"/>
    <x v="1"/>
  </r>
  <r>
    <x v="241"/>
    <s v="ITA"/>
    <x v="204"/>
    <n v="1368174"/>
    <n v="133857"/>
    <s v="12.81M"/>
    <n v="12810000"/>
    <x v="1"/>
  </r>
  <r>
    <x v="242"/>
    <s v="CERE"/>
    <x v="44"/>
    <n v="1364205"/>
    <n v="79839"/>
    <s v="6.93B"/>
    <n v="6930000000"/>
    <x v="1"/>
  </r>
  <r>
    <x v="243"/>
    <s v="XL1"/>
    <x v="44"/>
    <n v="1363127"/>
    <n v="934795"/>
    <s v="5.73B"/>
    <n v="5730000000"/>
    <x v="1"/>
  </r>
  <r>
    <x v="244"/>
    <s v="SHIRO"/>
    <x v="205"/>
    <n v="1361600"/>
    <n v="147605"/>
    <s v="636.12T"/>
    <n v="636120000000000"/>
    <x v="1"/>
  </r>
  <r>
    <x v="245"/>
    <s v="TOWER"/>
    <x v="44"/>
    <n v="1360761"/>
    <n v="492139"/>
    <s v="6.07B"/>
    <n v="6070000000"/>
    <x v="1"/>
  </r>
  <r>
    <x v="246"/>
    <s v="安"/>
    <x v="197"/>
    <n v="1359796"/>
    <n v="298359"/>
    <s v="1B"/>
    <n v="1000000000"/>
    <x v="1"/>
  </r>
  <r>
    <x v="247"/>
    <s v="OGPU"/>
    <x v="206"/>
    <n v="1353229"/>
    <n v="41592"/>
    <s v="19.63M"/>
    <n v="19630000"/>
    <x v="1"/>
  </r>
  <r>
    <x v="248"/>
    <s v="BASE"/>
    <x v="207"/>
    <n v="1121130"/>
    <n v="2007"/>
    <s v="929.45B"/>
    <n v="929450000000"/>
    <x v="1"/>
  </r>
  <r>
    <x v="249"/>
    <s v="BC2"/>
    <x v="208"/>
    <n v="1098616"/>
    <n v="8914"/>
    <s v="2.62M"/>
    <n v="2620000"/>
    <x v="1"/>
  </r>
  <r>
    <x v="250"/>
    <s v="MCN"/>
    <x v="209"/>
    <n v="1109822"/>
    <n v="22408"/>
    <s v="12M"/>
    <n v="12000000"/>
    <x v="1"/>
  </r>
  <r>
    <x v="251"/>
    <s v="ZEUS"/>
    <x v="210"/>
    <n v="1102053"/>
    <n v="1118950"/>
    <s v="420.69T"/>
    <n v="420690000000000"/>
    <x v="1"/>
  </r>
  <r>
    <x v="252"/>
    <s v="PROS"/>
    <x v="211"/>
    <n v="1101673"/>
    <n v="65686"/>
    <s v="51.39M"/>
    <n v="51390000"/>
    <x v="1"/>
  </r>
  <r>
    <x v="253"/>
    <s v="MNTC"/>
    <x v="212"/>
    <n v="1101064"/>
    <n v="8879"/>
    <s v="6.27M"/>
    <n v="6270000"/>
    <x v="1"/>
  </r>
  <r>
    <x v="254"/>
    <s v="DELABS"/>
    <x v="52"/>
    <n v="1097570"/>
    <n v="3150"/>
    <s v="750.3M"/>
    <n v="750300000"/>
    <x v="1"/>
  </r>
  <r>
    <x v="255"/>
    <s v="BB"/>
    <x v="44"/>
    <n v="1096127"/>
    <n v="247575"/>
    <s v="4.42B"/>
    <n v="4420000000"/>
    <x v="1"/>
  </r>
  <r>
    <x v="256"/>
    <s v="RIZZMAS"/>
    <x v="213"/>
    <n v="1094656"/>
    <n v="355034"/>
    <s v="497.31B"/>
    <n v="497310000000"/>
    <x v="1"/>
  </r>
  <r>
    <x v="257"/>
    <s v="SHI"/>
    <x v="41"/>
    <n v="1094031"/>
    <n v="32087"/>
    <s v="12.21T"/>
    <n v="12210000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DEFA3-BED4-49D8-9B1D-6E66AEB6D3E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in Name">
  <location ref="A1:B7" firstHeaderRow="1" firstDataRow="1" firstDataCol="1"/>
  <pivotFields count="8">
    <pivotField axis="axisRow" showAll="0" measureFilter="1">
      <items count="259">
        <item x="172"/>
        <item x="170"/>
        <item x="227"/>
        <item x="239"/>
        <item x="100"/>
        <item x="147"/>
        <item x="51"/>
        <item x="184"/>
        <item x="67"/>
        <item x="162"/>
        <item x="50"/>
        <item x="58"/>
        <item x="97"/>
        <item x="139"/>
        <item x="138"/>
        <item x="236"/>
        <item x="52"/>
        <item x="71"/>
        <item x="87"/>
        <item x="143"/>
        <item x="233"/>
        <item x="112"/>
        <item x="115"/>
        <item x="248"/>
        <item x="35"/>
        <item x="123"/>
        <item x="190"/>
        <item x="255"/>
        <item x="0"/>
        <item x="12"/>
        <item x="25"/>
        <item x="249"/>
        <item x="146"/>
        <item x="179"/>
        <item x="27"/>
        <item x="49"/>
        <item x="4"/>
        <item x="125"/>
        <item x="131"/>
        <item x="99"/>
        <item x="135"/>
        <item x="19"/>
        <item x="74"/>
        <item x="33"/>
        <item x="11"/>
        <item x="106"/>
        <item x="24"/>
        <item x="242"/>
        <item x="92"/>
        <item x="176"/>
        <item x="110"/>
        <item x="208"/>
        <item x="57"/>
        <item x="26"/>
        <item x="224"/>
        <item x="199"/>
        <item x="167"/>
        <item x="168"/>
        <item x="17"/>
        <item x="80"/>
        <item x="134"/>
        <item x="145"/>
        <item x="144"/>
        <item x="75"/>
        <item x="205"/>
        <item x="23"/>
        <item x="254"/>
        <item x="130"/>
        <item x="173"/>
        <item x="8"/>
        <item x="83"/>
        <item x="117"/>
        <item x="41"/>
        <item x="226"/>
        <item x="196"/>
        <item x="137"/>
        <item x="165"/>
        <item x="76"/>
        <item x="18"/>
        <item x="1"/>
        <item x="240"/>
        <item x="31"/>
        <item x="118"/>
        <item x="108"/>
        <item x="56"/>
        <item x="116"/>
        <item x="142"/>
        <item x="182"/>
        <item x="238"/>
        <item x="121"/>
        <item x="217"/>
        <item x="193"/>
        <item x="36"/>
        <item x="220"/>
        <item x="133"/>
        <item x="48"/>
        <item x="20"/>
        <item x="73"/>
        <item x="160"/>
        <item x="102"/>
        <item x="151"/>
        <item x="223"/>
        <item x="111"/>
        <item x="101"/>
        <item x="65"/>
        <item x="54"/>
        <item x="30"/>
        <item x="9"/>
        <item x="141"/>
        <item x="21"/>
        <item x="89"/>
        <item x="132"/>
        <item x="88"/>
        <item x="241"/>
        <item x="124"/>
        <item x="34"/>
        <item x="152"/>
        <item x="98"/>
        <item x="149"/>
        <item x="212"/>
        <item x="37"/>
        <item x="60"/>
        <item x="91"/>
        <item x="28"/>
        <item x="202"/>
        <item x="218"/>
        <item x="127"/>
        <item x="156"/>
        <item x="61"/>
        <item x="204"/>
        <item x="250"/>
        <item x="207"/>
        <item x="62"/>
        <item x="161"/>
        <item x="122"/>
        <item x="85"/>
        <item x="253"/>
        <item x="155"/>
        <item x="72"/>
        <item x="16"/>
        <item x="13"/>
        <item x="230"/>
        <item x="82"/>
        <item x="157"/>
        <item x="55"/>
        <item x="228"/>
        <item x="215"/>
        <item x="150"/>
        <item x="203"/>
        <item x="189"/>
        <item x="84"/>
        <item x="177"/>
        <item x="113"/>
        <item x="174"/>
        <item x="229"/>
        <item x="45"/>
        <item x="32"/>
        <item x="247"/>
        <item x="126"/>
        <item x="148"/>
        <item x="120"/>
        <item x="211"/>
        <item x="197"/>
        <item x="251"/>
        <item x="234"/>
        <item x="93"/>
        <item x="214"/>
        <item x="159"/>
        <item x="206"/>
        <item x="232"/>
        <item x="222"/>
        <item x="213"/>
        <item x="79"/>
        <item x="252"/>
        <item x="136"/>
        <item x="195"/>
        <item x="183"/>
        <item x="210"/>
        <item x="158"/>
        <item x="29"/>
        <item x="169"/>
        <item x="256"/>
        <item x="192"/>
        <item x="178"/>
        <item x="186"/>
        <item x="53"/>
        <item x="154"/>
        <item x="201"/>
        <item x="166"/>
        <item x="70"/>
        <item x="81"/>
        <item x="188"/>
        <item x="180"/>
        <item x="209"/>
        <item x="257"/>
        <item x="244"/>
        <item x="216"/>
        <item x="221"/>
        <item x="235"/>
        <item x="119"/>
        <item x="77"/>
        <item x="6"/>
        <item x="40"/>
        <item x="187"/>
        <item x="163"/>
        <item x="14"/>
        <item x="63"/>
        <item x="68"/>
        <item x="78"/>
        <item x="59"/>
        <item x="64"/>
        <item x="164"/>
        <item x="181"/>
        <item x="15"/>
        <item x="237"/>
        <item x="104"/>
        <item x="219"/>
        <item x="2"/>
        <item x="96"/>
        <item x="114"/>
        <item x="47"/>
        <item x="245"/>
        <item x="107"/>
        <item x="66"/>
        <item x="7"/>
        <item x="231"/>
        <item x="194"/>
        <item x="105"/>
        <item x="43"/>
        <item x="46"/>
        <item x="103"/>
        <item x="94"/>
        <item x="10"/>
        <item x="90"/>
        <item x="39"/>
        <item x="95"/>
        <item x="5"/>
        <item x="42"/>
        <item x="38"/>
        <item x="171"/>
        <item x="129"/>
        <item x="109"/>
        <item x="191"/>
        <item x="128"/>
        <item x="225"/>
        <item x="175"/>
        <item x="200"/>
        <item x="44"/>
        <item x="140"/>
        <item x="243"/>
        <item x="86"/>
        <item x="3"/>
        <item x="198"/>
        <item x="69"/>
        <item x="153"/>
        <item x="22"/>
        <item x="185"/>
        <item x="246"/>
        <item t="default"/>
      </items>
    </pivotField>
    <pivotField showAll="0"/>
    <pivotField showAll="0">
      <items count="215">
        <item x="147"/>
        <item x="80"/>
        <item x="44"/>
        <item x="139"/>
        <item x="51"/>
        <item x="74"/>
        <item x="163"/>
        <item x="39"/>
        <item x="47"/>
        <item x="184"/>
        <item x="85"/>
        <item x="83"/>
        <item x="79"/>
        <item x="197"/>
        <item x="52"/>
        <item x="114"/>
        <item x="118"/>
        <item x="155"/>
        <item x="191"/>
        <item x="179"/>
        <item x="102"/>
        <item x="193"/>
        <item x="21"/>
        <item x="66"/>
        <item x="183"/>
        <item x="188"/>
        <item x="162"/>
        <item x="173"/>
        <item x="168"/>
        <item x="55"/>
        <item x="123"/>
        <item x="171"/>
        <item x="181"/>
        <item x="101"/>
        <item x="120"/>
        <item x="180"/>
        <item x="174"/>
        <item x="178"/>
        <item x="106"/>
        <item x="167"/>
        <item x="143"/>
        <item x="28"/>
        <item x="48"/>
        <item x="64"/>
        <item x="70"/>
        <item x="177"/>
        <item x="151"/>
        <item x="157"/>
        <item x="49"/>
        <item x="94"/>
        <item x="95"/>
        <item x="65"/>
        <item x="42"/>
        <item x="136"/>
        <item x="156"/>
        <item x="165"/>
        <item x="164"/>
        <item x="124"/>
        <item x="115"/>
        <item x="144"/>
        <item x="128"/>
        <item x="190"/>
        <item x="121"/>
        <item x="98"/>
        <item x="196"/>
        <item x="109"/>
        <item x="112"/>
        <item x="169"/>
        <item x="154"/>
        <item x="81"/>
        <item x="14"/>
        <item x="53"/>
        <item x="84"/>
        <item x="211"/>
        <item x="99"/>
        <item x="161"/>
        <item x="130"/>
        <item x="202"/>
        <item x="186"/>
        <item x="117"/>
        <item x="125"/>
        <item x="201"/>
        <item x="159"/>
        <item x="135"/>
        <item x="46"/>
        <item x="140"/>
        <item x="138"/>
        <item x="97"/>
        <item x="88"/>
        <item x="15"/>
        <item x="146"/>
        <item x="199"/>
        <item x="90"/>
        <item x="192"/>
        <item x="59"/>
        <item x="68"/>
        <item x="200"/>
        <item x="63"/>
        <item x="207"/>
        <item x="137"/>
        <item x="29"/>
        <item x="198"/>
        <item x="213"/>
        <item x="82"/>
        <item x="127"/>
        <item x="150"/>
        <item x="56"/>
        <item x="104"/>
        <item x="25"/>
        <item x="195"/>
        <item x="26"/>
        <item x="103"/>
        <item x="75"/>
        <item x="206"/>
        <item x="126"/>
        <item x="73"/>
        <item x="119"/>
        <item x="148"/>
        <item x="54"/>
        <item x="107"/>
        <item x="166"/>
        <item x="96"/>
        <item x="41"/>
        <item x="34"/>
        <item x="89"/>
        <item x="205"/>
        <item x="210"/>
        <item x="185"/>
        <item x="152"/>
        <item x="141"/>
        <item x="176"/>
        <item x="62"/>
        <item x="209"/>
        <item x="86"/>
        <item x="50"/>
        <item x="133"/>
        <item x="78"/>
        <item x="204"/>
        <item x="7"/>
        <item x="129"/>
        <item x="40"/>
        <item x="134"/>
        <item x="187"/>
        <item x="100"/>
        <item x="182"/>
        <item x="149"/>
        <item x="20"/>
        <item x="212"/>
        <item x="69"/>
        <item x="57"/>
        <item x="194"/>
        <item x="32"/>
        <item x="132"/>
        <item x="108"/>
        <item x="16"/>
        <item x="61"/>
        <item x="10"/>
        <item x="91"/>
        <item x="122"/>
        <item x="43"/>
        <item x="153"/>
        <item x="189"/>
        <item x="6"/>
        <item x="18"/>
        <item x="23"/>
        <item x="27"/>
        <item x="13"/>
        <item x="208"/>
        <item x="170"/>
        <item x="17"/>
        <item x="158"/>
        <item x="175"/>
        <item x="142"/>
        <item x="58"/>
        <item x="116"/>
        <item x="77"/>
        <item x="145"/>
        <item x="113"/>
        <item x="30"/>
        <item x="37"/>
        <item x="38"/>
        <item x="35"/>
        <item x="2"/>
        <item x="92"/>
        <item x="31"/>
        <item x="172"/>
        <item x="111"/>
        <item x="3"/>
        <item x="203"/>
        <item x="160"/>
        <item x="76"/>
        <item x="36"/>
        <item x="87"/>
        <item x="60"/>
        <item x="71"/>
        <item x="131"/>
        <item x="33"/>
        <item x="72"/>
        <item x="110"/>
        <item x="105"/>
        <item x="45"/>
        <item x="9"/>
        <item x="67"/>
        <item x="24"/>
        <item x="22"/>
        <item x="8"/>
        <item x="5"/>
        <item x="19"/>
        <item x="12"/>
        <item x="11"/>
        <item x="4"/>
        <item x="1"/>
        <item x="93"/>
        <item x="0"/>
        <item t="default"/>
      </items>
    </pivotField>
    <pivotField showAll="0"/>
    <pivotField dataField="1" showAll="0"/>
    <pivotField showAll="0"/>
    <pivotField showAll="0"/>
    <pivotField showAll="0">
      <items count="3">
        <item x="1"/>
        <item h="1" x="0"/>
        <item t="default"/>
      </items>
    </pivotField>
  </pivotFields>
  <rowFields count="1">
    <field x="0"/>
  </rowFields>
  <rowItems count="6">
    <i>
      <x v="69"/>
    </i>
    <i>
      <x v="217"/>
    </i>
    <i>
      <x v="224"/>
    </i>
    <i>
      <x v="236"/>
    </i>
    <i>
      <x v="251"/>
    </i>
    <i t="grand">
      <x/>
    </i>
  </rowItems>
  <colItems count="1">
    <i/>
  </colItems>
  <dataFields count="1">
    <dataField name=" Volume (24h)" fld="4" baseField="0" baseItem="28"/>
  </dataField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2E4D6193-E0A0-407E-A8F1-0F58A843F9BB}" autoFormatId="16" applyNumberFormats="0" applyBorderFormats="0" applyFontFormats="0" applyPatternFormats="0" applyAlignmentFormats="0" applyWidthHeightFormats="0">
  <queryTableRefresh nextId="9">
    <queryTableFields count="8">
      <queryTableField id="1" name="Coin Name" tableColumnId="1"/>
      <queryTableField id="2" name="Symbol" tableColumnId="2"/>
      <queryTableField id="3" name="Price (USD)" tableColumnId="3"/>
      <queryTableField id="4" name="Market Capital" tableColumnId="4"/>
      <queryTableField id="5" name="Volume (24h)" tableColumnId="5"/>
      <queryTableField id="6" name="Circulating Supply" tableColumnId="6"/>
      <queryTableField id="7" name="Curculating_Supply($)" tableColumnId="7"/>
      <queryTableField id="8" name="Price Catego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90B939CA-5DBD-409A-8348-34305FF02C74}" sourceName="Price Category">
  <pivotTables>
    <pivotTable tabId="6" name="PivotTable2"/>
  </pivotTables>
  <data>
    <tabular pivotCacheId="57778512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D655E9F0-A376-40D7-B587-A6F29B400910}" cache="Slicer_Price_Category" caption="Price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577DF8-1BA0-438F-88B3-5BFD1C02A81A}" name="raw_data__4" displayName="raw_data__4" ref="A1:H259" tableType="queryTable" totalsRowShown="0">
  <autoFilter ref="A1:H259" xr:uid="{96577DF8-1BA0-438F-88B3-5BFD1C02A81A}"/>
  <tableColumns count="8">
    <tableColumn id="1" xr3:uid="{A9DB24EE-6B48-4EC8-BFA3-30E40649CADA}" uniqueName="1" name="Coin Name" queryTableFieldId="1" dataDxfId="6"/>
    <tableColumn id="2" xr3:uid="{467C0B93-0A4E-455A-BBBC-6741056776AC}" uniqueName="2" name="Symbol" queryTableFieldId="2" dataDxfId="5"/>
    <tableColumn id="3" xr3:uid="{70C77042-B00A-4E0C-BCB2-1FB28F03014A}" uniqueName="3" name="Price (USD)" queryTableFieldId="3"/>
    <tableColumn id="4" xr3:uid="{ADCA3DA5-4655-4E5A-973E-FBA79656320C}" uniqueName="4" name="Market Capital" queryTableFieldId="4"/>
    <tableColumn id="5" xr3:uid="{0E240660-AD1A-4B9C-BFF4-81589E3CA18F}" uniqueName="5" name="Volume (24h)" queryTableFieldId="5"/>
    <tableColumn id="6" xr3:uid="{DE93B075-A8E4-4EFB-A7C1-B1E651421BC0}" uniqueName="6" name="Circulating Supply" queryTableFieldId="6" dataDxfId="4"/>
    <tableColumn id="7" xr3:uid="{2E1D5E42-8123-406F-B18B-8935EAE016CF}" uniqueName="7" name="Curculating_Supply($)" queryTableFieldId="7"/>
    <tableColumn id="8" xr3:uid="{B0DBAAD9-8954-4551-8B4A-42B6749FC8A2}" uniqueName="8" name="Price Category"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DF01D6-FA5F-4E1A-9F9B-3E0347FC4C1C}" name="Table4" displayName="Table4" ref="U32:V38" totalsRowShown="0" headerRowDxfId="1" dataDxfId="0">
  <autoFilter ref="U32:V38" xr:uid="{4DDF01D6-FA5F-4E1A-9F9B-3E0347FC4C1C}"/>
  <tableColumns count="2">
    <tableColumn id="1" xr3:uid="{CF0A942E-253D-4AB0-B290-A51E3EC55DF5}" name="Coin Name" dataDxfId="3">
      <calculatedColumnFormula>A2</calculatedColumnFormula>
    </tableColumn>
    <tableColumn id="2" xr3:uid="{A84DE5AF-DB19-49D0-9C15-835AB8EDA5AB}" name="Volume (24h)" dataDxfId="2">
      <calculatedColumnFormula>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1"/>
  <sheetViews>
    <sheetView workbookViewId="0"/>
  </sheetViews>
  <sheetFormatPr defaultRowHeight="14.5" x14ac:dyDescent="0.35"/>
  <cols>
    <col min="1" max="1" width="35.26953125" bestFit="1" customWidth="1"/>
    <col min="2" max="2" width="9.08984375" bestFit="1" customWidth="1"/>
    <col min="3" max="3" width="11.36328125" bestFit="1" customWidth="1"/>
    <col min="4" max="4" width="16.7265625" bestFit="1" customWidth="1"/>
    <col min="5" max="5" width="15.26953125" bestFit="1" customWidth="1"/>
    <col min="6" max="6" width="15.6328125" bestFit="1" customWidth="1"/>
  </cols>
  <sheetData>
    <row r="1" spans="1:6" x14ac:dyDescent="0.35">
      <c r="A1" t="s">
        <v>0</v>
      </c>
      <c r="B1" t="s">
        <v>1</v>
      </c>
      <c r="C1" t="s">
        <v>2</v>
      </c>
      <c r="D1" t="s">
        <v>3</v>
      </c>
      <c r="E1" t="s">
        <v>4</v>
      </c>
      <c r="F1" t="s">
        <v>5</v>
      </c>
    </row>
    <row r="2" spans="1:6" x14ac:dyDescent="0.35">
      <c r="A2" t="s">
        <v>6</v>
      </c>
      <c r="B2" t="s">
        <v>7</v>
      </c>
      <c r="C2" t="s">
        <v>8</v>
      </c>
      <c r="D2" t="s">
        <v>9</v>
      </c>
      <c r="E2" t="s">
        <v>10</v>
      </c>
      <c r="F2" t="s">
        <v>11</v>
      </c>
    </row>
    <row r="3" spans="1:6" x14ac:dyDescent="0.35">
      <c r="A3" t="s">
        <v>12</v>
      </c>
      <c r="B3" t="s">
        <v>13</v>
      </c>
      <c r="C3" t="s">
        <v>14</v>
      </c>
      <c r="D3" t="s">
        <v>15</v>
      </c>
      <c r="E3" t="s">
        <v>16</v>
      </c>
      <c r="F3" t="s">
        <v>17</v>
      </c>
    </row>
    <row r="4" spans="1:6" x14ac:dyDescent="0.35">
      <c r="A4" t="s">
        <v>18</v>
      </c>
      <c r="B4" t="s">
        <v>19</v>
      </c>
      <c r="C4" t="s">
        <v>20</v>
      </c>
      <c r="D4" t="s">
        <v>21</v>
      </c>
      <c r="E4" t="s">
        <v>22</v>
      </c>
      <c r="F4" t="s">
        <v>23</v>
      </c>
    </row>
    <row r="5" spans="1:6" x14ac:dyDescent="0.35">
      <c r="A5" t="s">
        <v>24</v>
      </c>
      <c r="B5" t="s">
        <v>24</v>
      </c>
      <c r="C5" t="s">
        <v>25</v>
      </c>
      <c r="D5" t="s">
        <v>26</v>
      </c>
      <c r="E5" t="s">
        <v>27</v>
      </c>
      <c r="F5" t="s">
        <v>28</v>
      </c>
    </row>
    <row r="6" spans="1:6" x14ac:dyDescent="0.35">
      <c r="A6" t="s">
        <v>29</v>
      </c>
      <c r="B6" t="s">
        <v>29</v>
      </c>
      <c r="C6" t="s">
        <v>30</v>
      </c>
      <c r="D6" t="s">
        <v>31</v>
      </c>
      <c r="E6" t="s">
        <v>32</v>
      </c>
      <c r="F6" t="s">
        <v>33</v>
      </c>
    </row>
    <row r="7" spans="1:6" x14ac:dyDescent="0.35">
      <c r="A7" t="s">
        <v>34</v>
      </c>
      <c r="B7" t="s">
        <v>34</v>
      </c>
      <c r="C7" t="s">
        <v>20</v>
      </c>
      <c r="D7" t="s">
        <v>35</v>
      </c>
      <c r="E7" t="s">
        <v>36</v>
      </c>
      <c r="F7" t="s">
        <v>37</v>
      </c>
    </row>
    <row r="8" spans="1:6" x14ac:dyDescent="0.35">
      <c r="A8" t="s">
        <v>38</v>
      </c>
      <c r="B8" t="s">
        <v>39</v>
      </c>
      <c r="C8" t="s">
        <v>40</v>
      </c>
      <c r="D8" t="s">
        <v>41</v>
      </c>
      <c r="E8" t="s">
        <v>42</v>
      </c>
      <c r="F8" t="s">
        <v>43</v>
      </c>
    </row>
    <row r="9" spans="1:6" x14ac:dyDescent="0.35">
      <c r="A9" t="s">
        <v>44</v>
      </c>
      <c r="B9" t="s">
        <v>45</v>
      </c>
      <c r="C9" t="s">
        <v>46</v>
      </c>
      <c r="D9" t="s">
        <v>47</v>
      </c>
      <c r="E9" t="s">
        <v>48</v>
      </c>
      <c r="F9" t="s">
        <v>49</v>
      </c>
    </row>
    <row r="10" spans="1:6" x14ac:dyDescent="0.35">
      <c r="A10" t="s">
        <v>50</v>
      </c>
      <c r="B10" t="s">
        <v>51</v>
      </c>
      <c r="C10" t="s">
        <v>52</v>
      </c>
      <c r="D10" t="s">
        <v>53</v>
      </c>
      <c r="E10" t="s">
        <v>54</v>
      </c>
      <c r="F10" t="s">
        <v>55</v>
      </c>
    </row>
    <row r="11" spans="1:6" x14ac:dyDescent="0.35">
      <c r="A11" t="s">
        <v>56</v>
      </c>
      <c r="B11" t="s">
        <v>57</v>
      </c>
      <c r="C11" t="s">
        <v>58</v>
      </c>
      <c r="D11" t="s">
        <v>59</v>
      </c>
      <c r="E11" t="s">
        <v>60</v>
      </c>
      <c r="F11" t="s">
        <v>61</v>
      </c>
    </row>
    <row r="12" spans="1:6" x14ac:dyDescent="0.35">
      <c r="A12" t="s">
        <v>62</v>
      </c>
      <c r="B12" t="s">
        <v>63</v>
      </c>
      <c r="C12" t="s">
        <v>64</v>
      </c>
      <c r="D12" t="s">
        <v>65</v>
      </c>
      <c r="E12" t="s">
        <v>66</v>
      </c>
      <c r="F12" t="s">
        <v>67</v>
      </c>
    </row>
    <row r="13" spans="1:6" x14ac:dyDescent="0.35">
      <c r="A13" t="s">
        <v>68</v>
      </c>
      <c r="B13" t="s">
        <v>69</v>
      </c>
      <c r="C13" t="s">
        <v>70</v>
      </c>
      <c r="D13" t="s">
        <v>71</v>
      </c>
      <c r="E13" t="s">
        <v>72</v>
      </c>
      <c r="F13" t="s">
        <v>73</v>
      </c>
    </row>
    <row r="14" spans="1:6" x14ac:dyDescent="0.35">
      <c r="A14" t="s">
        <v>74</v>
      </c>
      <c r="B14" t="s">
        <v>75</v>
      </c>
      <c r="C14" t="s">
        <v>76</v>
      </c>
      <c r="D14" t="s">
        <v>77</v>
      </c>
      <c r="E14" t="s">
        <v>78</v>
      </c>
      <c r="F14" t="s">
        <v>79</v>
      </c>
    </row>
    <row r="15" spans="1:6" x14ac:dyDescent="0.35">
      <c r="A15" t="s">
        <v>80</v>
      </c>
      <c r="B15" t="s">
        <v>81</v>
      </c>
      <c r="C15" t="s">
        <v>82</v>
      </c>
      <c r="D15" t="s">
        <v>83</v>
      </c>
      <c r="E15" t="s">
        <v>84</v>
      </c>
      <c r="F15" t="s">
        <v>85</v>
      </c>
    </row>
    <row r="16" spans="1:6" x14ac:dyDescent="0.35">
      <c r="A16" t="s">
        <v>86</v>
      </c>
      <c r="B16" t="s">
        <v>87</v>
      </c>
      <c r="C16" t="s">
        <v>88</v>
      </c>
      <c r="D16" t="s">
        <v>89</v>
      </c>
      <c r="E16" t="s">
        <v>90</v>
      </c>
      <c r="F16" t="s">
        <v>91</v>
      </c>
    </row>
    <row r="17" spans="1:6" x14ac:dyDescent="0.35">
      <c r="A17" t="s">
        <v>92</v>
      </c>
      <c r="B17" t="s">
        <v>93</v>
      </c>
      <c r="C17" t="s">
        <v>94</v>
      </c>
      <c r="D17" t="s">
        <v>95</v>
      </c>
      <c r="E17" t="s">
        <v>96</v>
      </c>
      <c r="F17" t="s">
        <v>97</v>
      </c>
    </row>
    <row r="18" spans="1:6" x14ac:dyDescent="0.35">
      <c r="A18" t="s">
        <v>98</v>
      </c>
      <c r="B18" t="s">
        <v>99</v>
      </c>
      <c r="C18" t="s">
        <v>100</v>
      </c>
      <c r="D18" t="s">
        <v>101</v>
      </c>
      <c r="E18" t="s">
        <v>102</v>
      </c>
      <c r="F18" t="s">
        <v>103</v>
      </c>
    </row>
    <row r="19" spans="1:6" x14ac:dyDescent="0.35">
      <c r="A19" t="s">
        <v>104</v>
      </c>
      <c r="B19" t="s">
        <v>105</v>
      </c>
      <c r="C19" t="s">
        <v>106</v>
      </c>
      <c r="D19" t="s">
        <v>107</v>
      </c>
      <c r="E19" t="s">
        <v>108</v>
      </c>
      <c r="F19" t="s">
        <v>109</v>
      </c>
    </row>
    <row r="20" spans="1:6" x14ac:dyDescent="0.35">
      <c r="A20" t="s">
        <v>110</v>
      </c>
      <c r="B20" t="s">
        <v>111</v>
      </c>
      <c r="C20" t="s">
        <v>112</v>
      </c>
      <c r="D20" t="s">
        <v>113</v>
      </c>
      <c r="E20" t="s">
        <v>114</v>
      </c>
      <c r="F20" t="s">
        <v>115</v>
      </c>
    </row>
    <row r="21" spans="1:6" x14ac:dyDescent="0.35">
      <c r="A21" t="s">
        <v>116</v>
      </c>
      <c r="B21" t="s">
        <v>117</v>
      </c>
      <c r="C21" t="s">
        <v>118</v>
      </c>
      <c r="D21" t="s">
        <v>119</v>
      </c>
      <c r="E21" t="s">
        <v>120</v>
      </c>
      <c r="F21" t="s">
        <v>121</v>
      </c>
    </row>
    <row r="22" spans="1:6" x14ac:dyDescent="0.35">
      <c r="A22" t="s">
        <v>122</v>
      </c>
      <c r="B22" t="s">
        <v>123</v>
      </c>
      <c r="C22" t="s">
        <v>124</v>
      </c>
      <c r="D22" t="s">
        <v>125</v>
      </c>
      <c r="E22" t="s">
        <v>126</v>
      </c>
      <c r="F22" t="s">
        <v>127</v>
      </c>
    </row>
    <row r="23" spans="1:6" x14ac:dyDescent="0.35">
      <c r="A23" t="s">
        <v>128</v>
      </c>
      <c r="B23" t="s">
        <v>129</v>
      </c>
      <c r="C23" t="s">
        <v>130</v>
      </c>
      <c r="D23" t="s">
        <v>131</v>
      </c>
      <c r="E23" t="s">
        <v>132</v>
      </c>
      <c r="F23" t="s">
        <v>133</v>
      </c>
    </row>
    <row r="24" spans="1:6" x14ac:dyDescent="0.35">
      <c r="A24" t="s">
        <v>134</v>
      </c>
      <c r="B24" t="s">
        <v>135</v>
      </c>
      <c r="C24" t="s">
        <v>136</v>
      </c>
      <c r="D24" t="s">
        <v>137</v>
      </c>
      <c r="E24" t="s">
        <v>138</v>
      </c>
      <c r="F24" t="s">
        <v>139</v>
      </c>
    </row>
    <row r="25" spans="1:6" x14ac:dyDescent="0.35">
      <c r="A25" t="s">
        <v>140</v>
      </c>
      <c r="B25" t="s">
        <v>141</v>
      </c>
      <c r="C25" t="s">
        <v>142</v>
      </c>
      <c r="D25" t="s">
        <v>143</v>
      </c>
      <c r="E25" t="s">
        <v>144</v>
      </c>
      <c r="F25" t="s">
        <v>145</v>
      </c>
    </row>
    <row r="26" spans="1:6" x14ac:dyDescent="0.35">
      <c r="A26" t="s">
        <v>146</v>
      </c>
      <c r="B26" t="s">
        <v>147</v>
      </c>
      <c r="C26" t="s">
        <v>148</v>
      </c>
      <c r="D26" t="s">
        <v>149</v>
      </c>
      <c r="E26" t="s">
        <v>150</v>
      </c>
      <c r="F26" t="s">
        <v>151</v>
      </c>
    </row>
    <row r="27" spans="1:6" x14ac:dyDescent="0.35">
      <c r="A27" t="s">
        <v>152</v>
      </c>
      <c r="B27" t="s">
        <v>153</v>
      </c>
      <c r="C27" t="s">
        <v>154</v>
      </c>
      <c r="D27" t="s">
        <v>155</v>
      </c>
      <c r="E27" t="s">
        <v>156</v>
      </c>
      <c r="F27" t="s">
        <v>11</v>
      </c>
    </row>
    <row r="28" spans="1:6" x14ac:dyDescent="0.35">
      <c r="A28" t="s">
        <v>157</v>
      </c>
      <c r="B28" t="s">
        <v>158</v>
      </c>
      <c r="C28" t="s">
        <v>159</v>
      </c>
      <c r="D28" t="s">
        <v>160</v>
      </c>
      <c r="E28" t="s">
        <v>161</v>
      </c>
      <c r="F28" t="s">
        <v>162</v>
      </c>
    </row>
    <row r="29" spans="1:6" x14ac:dyDescent="0.35">
      <c r="A29" t="s">
        <v>163</v>
      </c>
      <c r="B29" t="s">
        <v>164</v>
      </c>
      <c r="C29" t="s">
        <v>165</v>
      </c>
      <c r="D29" t="s">
        <v>166</v>
      </c>
      <c r="E29" t="s">
        <v>167</v>
      </c>
      <c r="F29" t="s">
        <v>168</v>
      </c>
    </row>
    <row r="30" spans="1:6" x14ac:dyDescent="0.35">
      <c r="A30" t="s">
        <v>169</v>
      </c>
      <c r="B30" t="s">
        <v>170</v>
      </c>
      <c r="C30" t="s">
        <v>171</v>
      </c>
      <c r="D30" t="s">
        <v>172</v>
      </c>
      <c r="E30" t="s">
        <v>173</v>
      </c>
      <c r="F30" t="s">
        <v>174</v>
      </c>
    </row>
    <row r="31" spans="1:6" x14ac:dyDescent="0.35">
      <c r="A31" t="s">
        <v>175</v>
      </c>
      <c r="B31" t="s">
        <v>176</v>
      </c>
      <c r="C31" t="s">
        <v>177</v>
      </c>
      <c r="D31" t="s">
        <v>178</v>
      </c>
      <c r="E31" t="s">
        <v>179</v>
      </c>
      <c r="F31" t="s">
        <v>180</v>
      </c>
    </row>
    <row r="32" spans="1:6" x14ac:dyDescent="0.35">
      <c r="A32" t="s">
        <v>181</v>
      </c>
      <c r="B32" t="s">
        <v>181</v>
      </c>
      <c r="C32" t="s">
        <v>182</v>
      </c>
      <c r="D32" t="s">
        <v>183</v>
      </c>
      <c r="E32" t="s">
        <v>184</v>
      </c>
      <c r="F32" t="s">
        <v>185</v>
      </c>
    </row>
    <row r="33" spans="1:6" x14ac:dyDescent="0.35">
      <c r="A33" t="s">
        <v>186</v>
      </c>
      <c r="B33" t="s">
        <v>187</v>
      </c>
      <c r="C33" t="s">
        <v>188</v>
      </c>
      <c r="D33" t="s">
        <v>189</v>
      </c>
      <c r="E33" t="s">
        <v>190</v>
      </c>
      <c r="F33" t="s">
        <v>191</v>
      </c>
    </row>
    <row r="34" spans="1:6" x14ac:dyDescent="0.35">
      <c r="A34" t="s">
        <v>192</v>
      </c>
      <c r="B34" t="s">
        <v>193</v>
      </c>
      <c r="C34" t="s">
        <v>194</v>
      </c>
      <c r="D34" t="s">
        <v>195</v>
      </c>
      <c r="E34" t="s">
        <v>196</v>
      </c>
      <c r="F34" t="s">
        <v>197</v>
      </c>
    </row>
    <row r="35" spans="1:6" x14ac:dyDescent="0.35">
      <c r="A35" t="s">
        <v>198</v>
      </c>
      <c r="B35" t="s">
        <v>199</v>
      </c>
      <c r="C35" t="s">
        <v>200</v>
      </c>
      <c r="D35" t="s">
        <v>201</v>
      </c>
      <c r="E35" t="s">
        <v>202</v>
      </c>
      <c r="F35" t="s">
        <v>203</v>
      </c>
    </row>
    <row r="36" spans="1:6" x14ac:dyDescent="0.35">
      <c r="A36" t="s">
        <v>204</v>
      </c>
      <c r="B36" t="s">
        <v>205</v>
      </c>
      <c r="C36" t="s">
        <v>206</v>
      </c>
      <c r="D36" t="s">
        <v>207</v>
      </c>
      <c r="E36" t="s">
        <v>208</v>
      </c>
      <c r="F36" t="s">
        <v>209</v>
      </c>
    </row>
    <row r="37" spans="1:6" x14ac:dyDescent="0.35">
      <c r="A37" t="s">
        <v>210</v>
      </c>
      <c r="B37" t="s">
        <v>211</v>
      </c>
      <c r="C37" t="s">
        <v>212</v>
      </c>
      <c r="D37" t="s">
        <v>213</v>
      </c>
      <c r="E37" t="s">
        <v>214</v>
      </c>
      <c r="F37" t="s">
        <v>215</v>
      </c>
    </row>
    <row r="38" spans="1:6" x14ac:dyDescent="0.35">
      <c r="A38" t="s">
        <v>216</v>
      </c>
      <c r="B38" t="s">
        <v>216</v>
      </c>
      <c r="C38" t="s">
        <v>217</v>
      </c>
      <c r="D38" t="s">
        <v>218</v>
      </c>
      <c r="E38" t="s">
        <v>219</v>
      </c>
      <c r="F38" t="s">
        <v>220</v>
      </c>
    </row>
    <row r="39" spans="1:6" x14ac:dyDescent="0.35">
      <c r="A39" t="s">
        <v>221</v>
      </c>
      <c r="B39" t="s">
        <v>221</v>
      </c>
      <c r="C39" t="s">
        <v>222</v>
      </c>
      <c r="D39" t="s">
        <v>223</v>
      </c>
      <c r="E39" t="s">
        <v>224</v>
      </c>
      <c r="F39" t="s">
        <v>225</v>
      </c>
    </row>
    <row r="40" spans="1:6" x14ac:dyDescent="0.35">
      <c r="A40" t="s">
        <v>226</v>
      </c>
      <c r="B40" t="s">
        <v>227</v>
      </c>
      <c r="C40" t="s">
        <v>228</v>
      </c>
      <c r="D40" t="s">
        <v>229</v>
      </c>
      <c r="E40" t="s">
        <v>230</v>
      </c>
      <c r="F40" t="s">
        <v>231</v>
      </c>
    </row>
    <row r="41" spans="1:6" x14ac:dyDescent="0.35">
      <c r="A41" t="s">
        <v>232</v>
      </c>
      <c r="B41" t="s">
        <v>233</v>
      </c>
      <c r="C41" t="s">
        <v>20</v>
      </c>
      <c r="D41" t="s">
        <v>234</v>
      </c>
      <c r="E41" t="s">
        <v>235</v>
      </c>
      <c r="F41" t="s">
        <v>236</v>
      </c>
    </row>
    <row r="42" spans="1:6" x14ac:dyDescent="0.35">
      <c r="A42" t="s">
        <v>237</v>
      </c>
      <c r="B42" t="s">
        <v>238</v>
      </c>
      <c r="C42" t="s">
        <v>239</v>
      </c>
      <c r="D42" t="s">
        <v>240</v>
      </c>
      <c r="E42" t="s">
        <v>241</v>
      </c>
      <c r="F42" t="s">
        <v>242</v>
      </c>
    </row>
    <row r="43" spans="1:6" x14ac:dyDescent="0.35">
      <c r="A43" t="s">
        <v>243</v>
      </c>
      <c r="B43" t="s">
        <v>244</v>
      </c>
      <c r="C43" t="s">
        <v>245</v>
      </c>
      <c r="D43" t="s">
        <v>246</v>
      </c>
      <c r="E43" t="s">
        <v>247</v>
      </c>
      <c r="F43" t="s">
        <v>248</v>
      </c>
    </row>
    <row r="44" spans="1:6" x14ac:dyDescent="0.35">
      <c r="A44" t="s">
        <v>249</v>
      </c>
      <c r="B44" t="s">
        <v>249</v>
      </c>
      <c r="C44" t="s">
        <v>20</v>
      </c>
      <c r="D44" t="s">
        <v>250</v>
      </c>
      <c r="E44" t="s">
        <v>251</v>
      </c>
      <c r="F44" t="s">
        <v>252</v>
      </c>
    </row>
    <row r="45" spans="1:6" x14ac:dyDescent="0.35">
      <c r="A45" t="s">
        <v>253</v>
      </c>
      <c r="B45" t="s">
        <v>254</v>
      </c>
      <c r="C45" t="s">
        <v>255</v>
      </c>
      <c r="D45" t="s">
        <v>256</v>
      </c>
      <c r="E45" t="s">
        <v>257</v>
      </c>
      <c r="F45" t="s">
        <v>258</v>
      </c>
    </row>
    <row r="46" spans="1:6" x14ac:dyDescent="0.35">
      <c r="A46" t="s">
        <v>259</v>
      </c>
      <c r="B46" t="s">
        <v>260</v>
      </c>
      <c r="C46" t="s">
        <v>261</v>
      </c>
      <c r="D46" t="s">
        <v>262</v>
      </c>
      <c r="E46" t="s">
        <v>263</v>
      </c>
      <c r="F46" t="s">
        <v>264</v>
      </c>
    </row>
    <row r="47" spans="1:6" x14ac:dyDescent="0.35">
      <c r="A47" t="s">
        <v>265</v>
      </c>
      <c r="B47" t="s">
        <v>266</v>
      </c>
      <c r="C47" t="s">
        <v>267</v>
      </c>
      <c r="D47" t="s">
        <v>268</v>
      </c>
      <c r="E47" t="s">
        <v>269</v>
      </c>
      <c r="F47" t="s">
        <v>270</v>
      </c>
    </row>
    <row r="48" spans="1:6" x14ac:dyDescent="0.35">
      <c r="A48" t="s">
        <v>271</v>
      </c>
      <c r="B48" t="s">
        <v>272</v>
      </c>
      <c r="C48" t="s">
        <v>273</v>
      </c>
      <c r="D48" t="s">
        <v>274</v>
      </c>
      <c r="E48" t="s">
        <v>275</v>
      </c>
      <c r="F48" t="s">
        <v>276</v>
      </c>
    </row>
    <row r="49" spans="1:6" x14ac:dyDescent="0.35">
      <c r="A49" t="s">
        <v>277</v>
      </c>
      <c r="B49" t="s">
        <v>278</v>
      </c>
      <c r="C49" t="s">
        <v>279</v>
      </c>
      <c r="D49" t="s">
        <v>280</v>
      </c>
      <c r="E49" t="s">
        <v>281</v>
      </c>
      <c r="F49" t="s">
        <v>282</v>
      </c>
    </row>
    <row r="50" spans="1:6" x14ac:dyDescent="0.35">
      <c r="A50" t="s">
        <v>283</v>
      </c>
      <c r="B50" t="s">
        <v>283</v>
      </c>
      <c r="C50" t="s">
        <v>284</v>
      </c>
      <c r="D50" t="s">
        <v>285</v>
      </c>
      <c r="E50" t="s">
        <v>286</v>
      </c>
      <c r="F50" t="s">
        <v>287</v>
      </c>
    </row>
    <row r="51" spans="1:6" x14ac:dyDescent="0.35">
      <c r="A51" t="s">
        <v>288</v>
      </c>
      <c r="B51" t="s">
        <v>288</v>
      </c>
      <c r="C51" t="s">
        <v>289</v>
      </c>
      <c r="D51" t="s">
        <v>290</v>
      </c>
      <c r="F51" t="s">
        <v>291</v>
      </c>
    </row>
    <row r="52" spans="1:6" x14ac:dyDescent="0.35">
      <c r="A52" t="s">
        <v>292</v>
      </c>
      <c r="B52" t="s">
        <v>293</v>
      </c>
      <c r="C52" t="s">
        <v>294</v>
      </c>
      <c r="D52" t="s">
        <v>295</v>
      </c>
      <c r="E52" t="s">
        <v>296</v>
      </c>
      <c r="F52" t="s">
        <v>297</v>
      </c>
    </row>
    <row r="53" spans="1:6" x14ac:dyDescent="0.35">
      <c r="A53" t="s">
        <v>298</v>
      </c>
      <c r="B53" t="s">
        <v>299</v>
      </c>
      <c r="C53" t="s">
        <v>300</v>
      </c>
      <c r="D53" t="s">
        <v>301</v>
      </c>
      <c r="E53" t="s">
        <v>302</v>
      </c>
      <c r="F53" t="s">
        <v>303</v>
      </c>
    </row>
    <row r="54" spans="1:6" x14ac:dyDescent="0.35">
      <c r="A54" t="s">
        <v>304</v>
      </c>
      <c r="B54" t="s">
        <v>305</v>
      </c>
      <c r="C54" t="s">
        <v>306</v>
      </c>
      <c r="D54" t="s">
        <v>307</v>
      </c>
      <c r="E54" t="s">
        <v>308</v>
      </c>
      <c r="F54" t="s">
        <v>309</v>
      </c>
    </row>
    <row r="55" spans="1:6" x14ac:dyDescent="0.35">
      <c r="A55" t="s">
        <v>310</v>
      </c>
      <c r="B55" t="s">
        <v>311</v>
      </c>
      <c r="C55" t="s">
        <v>312</v>
      </c>
      <c r="D55" t="s">
        <v>313</v>
      </c>
      <c r="E55" t="s">
        <v>314</v>
      </c>
      <c r="F55" t="s">
        <v>315</v>
      </c>
    </row>
    <row r="56" spans="1:6" x14ac:dyDescent="0.35">
      <c r="A56" t="s">
        <v>316</v>
      </c>
      <c r="B56" t="s">
        <v>317</v>
      </c>
      <c r="C56" t="s">
        <v>318</v>
      </c>
      <c r="D56" t="s">
        <v>319</v>
      </c>
      <c r="E56" t="s">
        <v>320</v>
      </c>
      <c r="F56" t="s">
        <v>321</v>
      </c>
    </row>
    <row r="57" spans="1:6" x14ac:dyDescent="0.35">
      <c r="A57" t="s">
        <v>322</v>
      </c>
      <c r="B57" t="s">
        <v>323</v>
      </c>
      <c r="C57" t="s">
        <v>324</v>
      </c>
      <c r="D57" t="s">
        <v>325</v>
      </c>
      <c r="E57" t="s">
        <v>326</v>
      </c>
      <c r="F57" t="s">
        <v>327</v>
      </c>
    </row>
    <row r="58" spans="1:6" x14ac:dyDescent="0.35">
      <c r="A58" t="s">
        <v>328</v>
      </c>
      <c r="B58" t="s">
        <v>329</v>
      </c>
      <c r="C58" t="s">
        <v>330</v>
      </c>
      <c r="D58" t="s">
        <v>331</v>
      </c>
      <c r="E58" t="s">
        <v>332</v>
      </c>
      <c r="F58" t="s">
        <v>333</v>
      </c>
    </row>
    <row r="59" spans="1:6" x14ac:dyDescent="0.35">
      <c r="A59" t="s">
        <v>334</v>
      </c>
      <c r="B59" t="s">
        <v>335</v>
      </c>
      <c r="C59" t="s">
        <v>336</v>
      </c>
      <c r="D59" t="s">
        <v>337</v>
      </c>
      <c r="E59" t="s">
        <v>338</v>
      </c>
      <c r="F59" t="s">
        <v>339</v>
      </c>
    </row>
    <row r="60" spans="1:6" x14ac:dyDescent="0.35">
      <c r="A60" t="s">
        <v>340</v>
      </c>
      <c r="B60" t="s">
        <v>341</v>
      </c>
      <c r="C60" t="s">
        <v>342</v>
      </c>
      <c r="D60" t="s">
        <v>343</v>
      </c>
      <c r="E60" t="s">
        <v>344</v>
      </c>
      <c r="F60" t="s">
        <v>345</v>
      </c>
    </row>
    <row r="61" spans="1:6" x14ac:dyDescent="0.35">
      <c r="A61" t="s">
        <v>346</v>
      </c>
      <c r="B61" t="s">
        <v>347</v>
      </c>
      <c r="C61" t="s">
        <v>348</v>
      </c>
      <c r="D61" t="s">
        <v>349</v>
      </c>
      <c r="E61" t="s">
        <v>350</v>
      </c>
      <c r="F61" t="s">
        <v>351</v>
      </c>
    </row>
    <row r="62" spans="1:6" x14ac:dyDescent="0.35">
      <c r="A62" t="s">
        <v>352</v>
      </c>
      <c r="B62" t="s">
        <v>353</v>
      </c>
      <c r="C62" t="s">
        <v>354</v>
      </c>
      <c r="D62" t="s">
        <v>355</v>
      </c>
      <c r="E62" t="s">
        <v>356</v>
      </c>
      <c r="F62" t="s">
        <v>357</v>
      </c>
    </row>
    <row r="63" spans="1:6" x14ac:dyDescent="0.35">
      <c r="A63" t="s">
        <v>358</v>
      </c>
      <c r="B63" t="s">
        <v>359</v>
      </c>
      <c r="C63" t="s">
        <v>360</v>
      </c>
      <c r="D63" t="s">
        <v>361</v>
      </c>
      <c r="E63" t="s">
        <v>362</v>
      </c>
      <c r="F63" t="s">
        <v>363</v>
      </c>
    </row>
    <row r="64" spans="1:6" x14ac:dyDescent="0.35">
      <c r="A64" t="s">
        <v>364</v>
      </c>
      <c r="B64" t="s">
        <v>365</v>
      </c>
      <c r="C64" t="s">
        <v>366</v>
      </c>
      <c r="D64" t="s">
        <v>367</v>
      </c>
      <c r="E64" t="s">
        <v>368</v>
      </c>
      <c r="F64" t="s">
        <v>369</v>
      </c>
    </row>
    <row r="65" spans="1:6" x14ac:dyDescent="0.35">
      <c r="A65" t="s">
        <v>370</v>
      </c>
      <c r="B65" t="s">
        <v>371</v>
      </c>
      <c r="C65" t="s">
        <v>372</v>
      </c>
      <c r="D65" t="s">
        <v>373</v>
      </c>
      <c r="E65" t="s">
        <v>374</v>
      </c>
      <c r="F65" t="s">
        <v>375</v>
      </c>
    </row>
    <row r="66" spans="1:6" x14ac:dyDescent="0.35">
      <c r="A66" t="s">
        <v>376</v>
      </c>
      <c r="B66" t="s">
        <v>377</v>
      </c>
      <c r="C66" t="s">
        <v>378</v>
      </c>
      <c r="D66" t="s">
        <v>379</v>
      </c>
      <c r="E66" t="s">
        <v>380</v>
      </c>
      <c r="F66" t="s">
        <v>381</v>
      </c>
    </row>
    <row r="67" spans="1:6" x14ac:dyDescent="0.35">
      <c r="A67" t="s">
        <v>382</v>
      </c>
      <c r="B67" t="s">
        <v>383</v>
      </c>
      <c r="C67" t="s">
        <v>384</v>
      </c>
      <c r="D67" t="s">
        <v>385</v>
      </c>
      <c r="E67" t="s">
        <v>386</v>
      </c>
      <c r="F67" t="s">
        <v>387</v>
      </c>
    </row>
    <row r="68" spans="1:6" x14ac:dyDescent="0.35">
      <c r="A68" t="s">
        <v>388</v>
      </c>
      <c r="B68" t="s">
        <v>389</v>
      </c>
      <c r="C68" t="s">
        <v>390</v>
      </c>
      <c r="D68" t="s">
        <v>391</v>
      </c>
      <c r="E68" t="s">
        <v>392</v>
      </c>
      <c r="F68" t="s">
        <v>393</v>
      </c>
    </row>
    <row r="69" spans="1:6" x14ac:dyDescent="0.35">
      <c r="A69" t="s">
        <v>394</v>
      </c>
      <c r="B69" t="s">
        <v>395</v>
      </c>
      <c r="C69" t="s">
        <v>396</v>
      </c>
      <c r="D69" t="s">
        <v>397</v>
      </c>
      <c r="E69" t="s">
        <v>398</v>
      </c>
      <c r="F69" t="s">
        <v>399</v>
      </c>
    </row>
    <row r="70" spans="1:6" x14ac:dyDescent="0.35">
      <c r="A70" t="s">
        <v>400</v>
      </c>
      <c r="B70" t="s">
        <v>401</v>
      </c>
      <c r="C70" t="s">
        <v>402</v>
      </c>
      <c r="D70" t="s">
        <v>403</v>
      </c>
      <c r="E70" t="s">
        <v>404</v>
      </c>
      <c r="F70" t="s">
        <v>405</v>
      </c>
    </row>
    <row r="71" spans="1:6" x14ac:dyDescent="0.35">
      <c r="A71" t="s">
        <v>406</v>
      </c>
      <c r="B71" t="s">
        <v>407</v>
      </c>
      <c r="C71" t="s">
        <v>408</v>
      </c>
      <c r="D71" t="s">
        <v>409</v>
      </c>
      <c r="E71" t="s">
        <v>410</v>
      </c>
      <c r="F71" t="s">
        <v>411</v>
      </c>
    </row>
    <row r="72" spans="1:6" x14ac:dyDescent="0.35">
      <c r="A72" t="s">
        <v>412</v>
      </c>
      <c r="B72" t="s">
        <v>412</v>
      </c>
      <c r="C72" t="s">
        <v>413</v>
      </c>
      <c r="D72" t="s">
        <v>414</v>
      </c>
      <c r="E72" t="s">
        <v>415</v>
      </c>
      <c r="F72" t="s">
        <v>416</v>
      </c>
    </row>
    <row r="73" spans="1:6" x14ac:dyDescent="0.35">
      <c r="A73" t="s">
        <v>417</v>
      </c>
      <c r="B73" t="s">
        <v>418</v>
      </c>
      <c r="C73" t="s">
        <v>419</v>
      </c>
      <c r="D73" t="s">
        <v>420</v>
      </c>
      <c r="E73" t="s">
        <v>421</v>
      </c>
      <c r="F73" t="s">
        <v>422</v>
      </c>
    </row>
    <row r="74" spans="1:6" x14ac:dyDescent="0.35">
      <c r="A74" t="s">
        <v>423</v>
      </c>
      <c r="B74" t="s">
        <v>424</v>
      </c>
      <c r="C74" t="s">
        <v>425</v>
      </c>
      <c r="D74" t="s">
        <v>426</v>
      </c>
      <c r="E74" t="s">
        <v>427</v>
      </c>
      <c r="F74" t="s">
        <v>428</v>
      </c>
    </row>
    <row r="75" spans="1:6" x14ac:dyDescent="0.35">
      <c r="A75" t="s">
        <v>429</v>
      </c>
      <c r="B75" t="s">
        <v>430</v>
      </c>
      <c r="C75" t="s">
        <v>431</v>
      </c>
      <c r="D75" t="s">
        <v>432</v>
      </c>
      <c r="E75" t="s">
        <v>433</v>
      </c>
      <c r="F75" t="s">
        <v>434</v>
      </c>
    </row>
    <row r="76" spans="1:6" x14ac:dyDescent="0.35">
      <c r="A76" t="s">
        <v>435</v>
      </c>
      <c r="B76" t="s">
        <v>436</v>
      </c>
      <c r="C76" t="s">
        <v>437</v>
      </c>
      <c r="D76" t="s">
        <v>438</v>
      </c>
      <c r="E76" t="s">
        <v>439</v>
      </c>
      <c r="F76" t="s">
        <v>440</v>
      </c>
    </row>
    <row r="77" spans="1:6" x14ac:dyDescent="0.35">
      <c r="A77" t="s">
        <v>441</v>
      </c>
      <c r="B77" t="s">
        <v>442</v>
      </c>
      <c r="C77" t="s">
        <v>443</v>
      </c>
      <c r="D77" t="s">
        <v>444</v>
      </c>
      <c r="E77" t="s">
        <v>445</v>
      </c>
      <c r="F77" t="s">
        <v>446</v>
      </c>
    </row>
    <row r="78" spans="1:6" x14ac:dyDescent="0.35">
      <c r="A78" t="s">
        <v>447</v>
      </c>
      <c r="B78" t="s">
        <v>448</v>
      </c>
      <c r="C78" t="s">
        <v>449</v>
      </c>
      <c r="D78" t="s">
        <v>450</v>
      </c>
      <c r="E78" t="s">
        <v>451</v>
      </c>
      <c r="F78" t="s">
        <v>452</v>
      </c>
    </row>
    <row r="79" spans="1:6" x14ac:dyDescent="0.35">
      <c r="A79" t="s">
        <v>453</v>
      </c>
      <c r="B79" t="s">
        <v>454</v>
      </c>
      <c r="C79" t="s">
        <v>455</v>
      </c>
      <c r="D79" t="s">
        <v>456</v>
      </c>
      <c r="E79" t="s">
        <v>457</v>
      </c>
      <c r="F79" t="s">
        <v>458</v>
      </c>
    </row>
    <row r="80" spans="1:6" x14ac:dyDescent="0.35">
      <c r="A80" t="s">
        <v>459</v>
      </c>
      <c r="B80" t="s">
        <v>460</v>
      </c>
      <c r="C80" t="s">
        <v>461</v>
      </c>
      <c r="D80" t="s">
        <v>462</v>
      </c>
      <c r="E80" t="s">
        <v>463</v>
      </c>
      <c r="F80" t="s">
        <v>464</v>
      </c>
    </row>
    <row r="81" spans="1:6" x14ac:dyDescent="0.35">
      <c r="A81" t="s">
        <v>465</v>
      </c>
      <c r="B81" t="s">
        <v>466</v>
      </c>
      <c r="C81" t="s">
        <v>467</v>
      </c>
      <c r="D81" t="s">
        <v>468</v>
      </c>
      <c r="E81" t="s">
        <v>469</v>
      </c>
      <c r="F81" t="s">
        <v>470</v>
      </c>
    </row>
    <row r="82" spans="1:6" x14ac:dyDescent="0.35">
      <c r="A82" t="s">
        <v>471</v>
      </c>
      <c r="B82" t="s">
        <v>472</v>
      </c>
      <c r="C82" t="s">
        <v>473</v>
      </c>
      <c r="D82" t="s">
        <v>474</v>
      </c>
      <c r="E82" t="s">
        <v>475</v>
      </c>
      <c r="F82" t="s">
        <v>476</v>
      </c>
    </row>
    <row r="83" spans="1:6" x14ac:dyDescent="0.35">
      <c r="A83" t="s">
        <v>477</v>
      </c>
      <c r="B83" t="s">
        <v>478</v>
      </c>
      <c r="C83" t="s">
        <v>479</v>
      </c>
      <c r="D83" t="s">
        <v>480</v>
      </c>
      <c r="E83" t="s">
        <v>481</v>
      </c>
      <c r="F83" t="s">
        <v>482</v>
      </c>
    </row>
    <row r="84" spans="1:6" x14ac:dyDescent="0.35">
      <c r="A84" t="s">
        <v>483</v>
      </c>
      <c r="B84" t="s">
        <v>484</v>
      </c>
      <c r="C84" t="s">
        <v>485</v>
      </c>
      <c r="D84" t="s">
        <v>486</v>
      </c>
      <c r="E84" t="s">
        <v>487</v>
      </c>
      <c r="F84" t="s">
        <v>488</v>
      </c>
    </row>
    <row r="85" spans="1:6" x14ac:dyDescent="0.35">
      <c r="A85" t="s">
        <v>489</v>
      </c>
      <c r="B85" t="s">
        <v>489</v>
      </c>
      <c r="C85" t="s">
        <v>490</v>
      </c>
      <c r="D85" t="s">
        <v>491</v>
      </c>
      <c r="E85" t="s">
        <v>492</v>
      </c>
      <c r="F85" t="s">
        <v>493</v>
      </c>
    </row>
    <row r="86" spans="1:6" x14ac:dyDescent="0.35">
      <c r="A86" t="s">
        <v>494</v>
      </c>
      <c r="B86" t="s">
        <v>494</v>
      </c>
      <c r="C86" t="s">
        <v>495</v>
      </c>
      <c r="D86" t="s">
        <v>496</v>
      </c>
      <c r="E86" t="s">
        <v>497</v>
      </c>
      <c r="F86" t="s">
        <v>498</v>
      </c>
    </row>
    <row r="87" spans="1:6" x14ac:dyDescent="0.35">
      <c r="A87" t="s">
        <v>499</v>
      </c>
      <c r="B87" t="s">
        <v>500</v>
      </c>
      <c r="C87" t="s">
        <v>501</v>
      </c>
      <c r="D87" t="s">
        <v>502</v>
      </c>
      <c r="E87" t="s">
        <v>503</v>
      </c>
      <c r="F87" t="s">
        <v>504</v>
      </c>
    </row>
    <row r="88" spans="1:6" x14ac:dyDescent="0.35">
      <c r="A88" t="s">
        <v>505</v>
      </c>
      <c r="B88" t="s">
        <v>506</v>
      </c>
      <c r="C88" t="s">
        <v>507</v>
      </c>
      <c r="D88" t="s">
        <v>508</v>
      </c>
      <c r="F88" t="s">
        <v>509</v>
      </c>
    </row>
    <row r="89" spans="1:6" x14ac:dyDescent="0.35">
      <c r="A89" t="s">
        <v>510</v>
      </c>
      <c r="B89" t="s">
        <v>511</v>
      </c>
      <c r="C89" t="s">
        <v>512</v>
      </c>
      <c r="D89" t="s">
        <v>513</v>
      </c>
      <c r="E89" t="s">
        <v>514</v>
      </c>
      <c r="F89" t="s">
        <v>515</v>
      </c>
    </row>
    <row r="90" spans="1:6" x14ac:dyDescent="0.35">
      <c r="A90" t="s">
        <v>516</v>
      </c>
      <c r="B90" t="s">
        <v>516</v>
      </c>
      <c r="C90" t="s">
        <v>507</v>
      </c>
      <c r="D90" t="s">
        <v>517</v>
      </c>
      <c r="F90" t="s">
        <v>518</v>
      </c>
    </row>
    <row r="91" spans="1:6" x14ac:dyDescent="0.35">
      <c r="A91" t="s">
        <v>519</v>
      </c>
      <c r="B91" t="s">
        <v>520</v>
      </c>
      <c r="C91" t="s">
        <v>521</v>
      </c>
      <c r="D91" t="s">
        <v>522</v>
      </c>
      <c r="E91" t="s">
        <v>523</v>
      </c>
      <c r="F91" t="s">
        <v>524</v>
      </c>
    </row>
    <row r="92" spans="1:6" x14ac:dyDescent="0.35">
      <c r="A92" t="s">
        <v>525</v>
      </c>
      <c r="B92" t="s">
        <v>526</v>
      </c>
      <c r="C92" t="s">
        <v>527</v>
      </c>
      <c r="D92" t="s">
        <v>528</v>
      </c>
      <c r="E92" t="s">
        <v>529</v>
      </c>
      <c r="F92" t="s">
        <v>530</v>
      </c>
    </row>
    <row r="93" spans="1:6" x14ac:dyDescent="0.35">
      <c r="A93" t="s">
        <v>531</v>
      </c>
      <c r="B93" t="s">
        <v>531</v>
      </c>
      <c r="C93" t="s">
        <v>532</v>
      </c>
      <c r="D93" t="s">
        <v>533</v>
      </c>
      <c r="E93" t="s">
        <v>534</v>
      </c>
      <c r="F93" t="s">
        <v>535</v>
      </c>
    </row>
    <row r="94" spans="1:6" x14ac:dyDescent="0.35">
      <c r="A94" t="s">
        <v>536</v>
      </c>
      <c r="B94" t="s">
        <v>537</v>
      </c>
      <c r="C94" t="s">
        <v>538</v>
      </c>
      <c r="D94" t="s">
        <v>539</v>
      </c>
      <c r="E94" t="s">
        <v>540</v>
      </c>
      <c r="F94" t="s">
        <v>541</v>
      </c>
    </row>
    <row r="95" spans="1:6" x14ac:dyDescent="0.35">
      <c r="A95" t="s">
        <v>542</v>
      </c>
      <c r="B95" t="s">
        <v>543</v>
      </c>
      <c r="C95" t="s">
        <v>544</v>
      </c>
      <c r="D95" t="s">
        <v>545</v>
      </c>
      <c r="E95" t="s">
        <v>546</v>
      </c>
      <c r="F95" t="s">
        <v>547</v>
      </c>
    </row>
    <row r="96" spans="1:6" x14ac:dyDescent="0.35">
      <c r="A96" t="s">
        <v>548</v>
      </c>
      <c r="B96" t="s">
        <v>548</v>
      </c>
      <c r="C96" t="s">
        <v>549</v>
      </c>
      <c r="D96" t="s">
        <v>550</v>
      </c>
      <c r="E96" t="s">
        <v>551</v>
      </c>
      <c r="F96" t="s">
        <v>552</v>
      </c>
    </row>
    <row r="97" spans="1:6" x14ac:dyDescent="0.35">
      <c r="A97" t="s">
        <v>553</v>
      </c>
      <c r="B97" t="s">
        <v>554</v>
      </c>
      <c r="C97" t="s">
        <v>555</v>
      </c>
      <c r="D97" t="s">
        <v>556</v>
      </c>
      <c r="E97" t="s">
        <v>557</v>
      </c>
      <c r="F97" t="s">
        <v>558</v>
      </c>
    </row>
    <row r="98" spans="1:6" x14ac:dyDescent="0.35">
      <c r="A98" t="s">
        <v>559</v>
      </c>
      <c r="B98" t="s">
        <v>560</v>
      </c>
      <c r="C98" t="s">
        <v>561</v>
      </c>
      <c r="D98" t="s">
        <v>562</v>
      </c>
      <c r="E98" t="s">
        <v>563</v>
      </c>
      <c r="F98" t="s">
        <v>564</v>
      </c>
    </row>
    <row r="99" spans="1:6" x14ac:dyDescent="0.35">
      <c r="A99" t="s">
        <v>565</v>
      </c>
      <c r="B99" t="s">
        <v>566</v>
      </c>
      <c r="C99" t="s">
        <v>567</v>
      </c>
      <c r="D99" t="s">
        <v>568</v>
      </c>
      <c r="E99" t="s">
        <v>569</v>
      </c>
      <c r="F99" t="s">
        <v>570</v>
      </c>
    </row>
    <row r="100" spans="1:6" x14ac:dyDescent="0.35">
      <c r="A100" t="s">
        <v>571</v>
      </c>
      <c r="B100" t="s">
        <v>571</v>
      </c>
      <c r="C100" t="s">
        <v>507</v>
      </c>
      <c r="D100" t="s">
        <v>572</v>
      </c>
      <c r="E100" t="s">
        <v>573</v>
      </c>
      <c r="F100" t="s">
        <v>574</v>
      </c>
    </row>
    <row r="101" spans="1:6" x14ac:dyDescent="0.35">
      <c r="A101" t="s">
        <v>575</v>
      </c>
      <c r="B101" t="s">
        <v>576</v>
      </c>
      <c r="C101" t="s">
        <v>577</v>
      </c>
      <c r="D101" t="s">
        <v>578</v>
      </c>
      <c r="E101" t="s">
        <v>579</v>
      </c>
      <c r="F101" t="s">
        <v>580</v>
      </c>
    </row>
    <row r="102" spans="1:6" x14ac:dyDescent="0.35">
      <c r="A102" t="s">
        <v>581</v>
      </c>
      <c r="B102" t="s">
        <v>582</v>
      </c>
      <c r="C102" t="s">
        <v>583</v>
      </c>
      <c r="D102" t="s">
        <v>584</v>
      </c>
      <c r="E102" t="s">
        <v>585</v>
      </c>
      <c r="F102" t="s">
        <v>258</v>
      </c>
    </row>
    <row r="103" spans="1:6" x14ac:dyDescent="0.35">
      <c r="A103" t="s">
        <v>586</v>
      </c>
      <c r="B103" t="s">
        <v>587</v>
      </c>
      <c r="C103" t="s">
        <v>588</v>
      </c>
      <c r="D103" t="s">
        <v>589</v>
      </c>
      <c r="E103" t="s">
        <v>590</v>
      </c>
      <c r="F103" t="s">
        <v>591</v>
      </c>
    </row>
    <row r="104" spans="1:6" x14ac:dyDescent="0.35">
      <c r="A104" t="s">
        <v>592</v>
      </c>
      <c r="B104" t="s">
        <v>593</v>
      </c>
      <c r="C104" t="s">
        <v>594</v>
      </c>
      <c r="D104" t="s">
        <v>595</v>
      </c>
      <c r="E104" t="s">
        <v>596</v>
      </c>
      <c r="F104" t="s">
        <v>597</v>
      </c>
    </row>
    <row r="105" spans="1:6" x14ac:dyDescent="0.35">
      <c r="A105" t="s">
        <v>598</v>
      </c>
      <c r="B105" t="s">
        <v>599</v>
      </c>
      <c r="C105" t="s">
        <v>600</v>
      </c>
      <c r="D105" t="s">
        <v>601</v>
      </c>
      <c r="E105" t="s">
        <v>602</v>
      </c>
      <c r="F105" t="s">
        <v>603</v>
      </c>
    </row>
    <row r="106" spans="1:6" x14ac:dyDescent="0.35">
      <c r="A106" t="s">
        <v>604</v>
      </c>
      <c r="B106" t="s">
        <v>605</v>
      </c>
      <c r="C106" t="s">
        <v>606</v>
      </c>
      <c r="D106" t="s">
        <v>607</v>
      </c>
      <c r="E106" t="s">
        <v>608</v>
      </c>
      <c r="F106" t="s">
        <v>609</v>
      </c>
    </row>
    <row r="107" spans="1:6" x14ac:dyDescent="0.35">
      <c r="A107" t="s">
        <v>610</v>
      </c>
      <c r="B107" t="s">
        <v>611</v>
      </c>
      <c r="C107" t="s">
        <v>612</v>
      </c>
      <c r="D107" t="s">
        <v>613</v>
      </c>
      <c r="E107" t="s">
        <v>614</v>
      </c>
      <c r="F107" t="s">
        <v>615</v>
      </c>
    </row>
    <row r="108" spans="1:6" x14ac:dyDescent="0.35">
      <c r="A108" t="s">
        <v>616</v>
      </c>
      <c r="B108" t="s">
        <v>617</v>
      </c>
      <c r="C108" t="s">
        <v>618</v>
      </c>
      <c r="D108" t="s">
        <v>619</v>
      </c>
      <c r="E108" t="s">
        <v>620</v>
      </c>
      <c r="F108" t="s">
        <v>621</v>
      </c>
    </row>
    <row r="109" spans="1:6" x14ac:dyDescent="0.35">
      <c r="A109" t="s">
        <v>622</v>
      </c>
      <c r="B109" t="s">
        <v>623</v>
      </c>
      <c r="C109" t="s">
        <v>624</v>
      </c>
      <c r="D109" t="s">
        <v>625</v>
      </c>
      <c r="E109" t="s">
        <v>626</v>
      </c>
      <c r="F109" t="s">
        <v>627</v>
      </c>
    </row>
    <row r="110" spans="1:6" x14ac:dyDescent="0.35">
      <c r="A110" t="s">
        <v>628</v>
      </c>
      <c r="B110" t="s">
        <v>629</v>
      </c>
      <c r="C110" t="s">
        <v>630</v>
      </c>
      <c r="D110" t="s">
        <v>631</v>
      </c>
      <c r="E110" t="s">
        <v>632</v>
      </c>
      <c r="F110" t="s">
        <v>633</v>
      </c>
    </row>
    <row r="111" spans="1:6" x14ac:dyDescent="0.35">
      <c r="A111" t="s">
        <v>634</v>
      </c>
      <c r="B111" t="s">
        <v>635</v>
      </c>
      <c r="C111" t="s">
        <v>636</v>
      </c>
      <c r="D111" t="s">
        <v>637</v>
      </c>
      <c r="E111" t="s">
        <v>638</v>
      </c>
      <c r="F111" t="s">
        <v>639</v>
      </c>
    </row>
    <row r="112" spans="1:6" x14ac:dyDescent="0.35">
      <c r="A112" t="s">
        <v>640</v>
      </c>
      <c r="B112" t="s">
        <v>641</v>
      </c>
      <c r="C112" t="s">
        <v>642</v>
      </c>
      <c r="D112" t="s">
        <v>643</v>
      </c>
      <c r="E112" t="s">
        <v>644</v>
      </c>
      <c r="F112" t="s">
        <v>645</v>
      </c>
    </row>
    <row r="113" spans="1:6" x14ac:dyDescent="0.35">
      <c r="A113" t="s">
        <v>646</v>
      </c>
      <c r="B113" t="s">
        <v>647</v>
      </c>
      <c r="C113" t="s">
        <v>648</v>
      </c>
      <c r="D113" t="s">
        <v>649</v>
      </c>
      <c r="E113" t="s">
        <v>650</v>
      </c>
      <c r="F113" t="s">
        <v>651</v>
      </c>
    </row>
    <row r="114" spans="1:6" x14ac:dyDescent="0.35">
      <c r="A114" t="s">
        <v>652</v>
      </c>
      <c r="B114" t="s">
        <v>653</v>
      </c>
      <c r="C114" t="s">
        <v>654</v>
      </c>
      <c r="D114" t="s">
        <v>655</v>
      </c>
      <c r="E114" t="s">
        <v>656</v>
      </c>
      <c r="F114" t="s">
        <v>657</v>
      </c>
    </row>
    <row r="115" spans="1:6" x14ac:dyDescent="0.35">
      <c r="A115" t="s">
        <v>658</v>
      </c>
      <c r="B115" t="s">
        <v>659</v>
      </c>
      <c r="C115" t="s">
        <v>660</v>
      </c>
      <c r="D115" t="s">
        <v>661</v>
      </c>
      <c r="E115" t="s">
        <v>662</v>
      </c>
      <c r="F115" t="s">
        <v>258</v>
      </c>
    </row>
    <row r="116" spans="1:6" x14ac:dyDescent="0.35">
      <c r="A116" t="s">
        <v>663</v>
      </c>
      <c r="B116" t="s">
        <v>664</v>
      </c>
      <c r="C116" t="s">
        <v>665</v>
      </c>
      <c r="D116" t="s">
        <v>666</v>
      </c>
      <c r="E116" t="s">
        <v>667</v>
      </c>
      <c r="F116" t="s">
        <v>668</v>
      </c>
    </row>
    <row r="117" spans="1:6" x14ac:dyDescent="0.35">
      <c r="A117" t="s">
        <v>669</v>
      </c>
      <c r="B117" t="s">
        <v>670</v>
      </c>
      <c r="C117" t="s">
        <v>671</v>
      </c>
      <c r="D117" t="s">
        <v>672</v>
      </c>
      <c r="E117" t="s">
        <v>673</v>
      </c>
      <c r="F117" t="s">
        <v>674</v>
      </c>
    </row>
    <row r="118" spans="1:6" x14ac:dyDescent="0.35">
      <c r="A118" t="s">
        <v>675</v>
      </c>
      <c r="B118" t="s">
        <v>676</v>
      </c>
      <c r="C118" t="s">
        <v>677</v>
      </c>
      <c r="D118" t="s">
        <v>678</v>
      </c>
      <c r="E118" t="s">
        <v>679</v>
      </c>
      <c r="F118" t="s">
        <v>680</v>
      </c>
    </row>
    <row r="119" spans="1:6" x14ac:dyDescent="0.35">
      <c r="A119" t="s">
        <v>681</v>
      </c>
      <c r="B119" t="s">
        <v>682</v>
      </c>
      <c r="C119" t="s">
        <v>683</v>
      </c>
      <c r="D119" t="s">
        <v>684</v>
      </c>
      <c r="E119" t="s">
        <v>685</v>
      </c>
      <c r="F119" t="s">
        <v>121</v>
      </c>
    </row>
    <row r="120" spans="1:6" x14ac:dyDescent="0.35">
      <c r="A120" t="s">
        <v>686</v>
      </c>
      <c r="B120" t="s">
        <v>687</v>
      </c>
      <c r="C120" t="s">
        <v>688</v>
      </c>
      <c r="D120" t="s">
        <v>689</v>
      </c>
      <c r="E120" t="s">
        <v>690</v>
      </c>
      <c r="F120" t="s">
        <v>691</v>
      </c>
    </row>
    <row r="121" spans="1:6" x14ac:dyDescent="0.35">
      <c r="A121" t="s">
        <v>692</v>
      </c>
      <c r="B121" t="s">
        <v>693</v>
      </c>
      <c r="C121" t="s">
        <v>694</v>
      </c>
      <c r="D121" t="s">
        <v>695</v>
      </c>
      <c r="E121" t="s">
        <v>696</v>
      </c>
      <c r="F121" t="s">
        <v>697</v>
      </c>
    </row>
    <row r="122" spans="1:6" x14ac:dyDescent="0.35">
      <c r="A122" t="s">
        <v>698</v>
      </c>
      <c r="B122" t="s">
        <v>698</v>
      </c>
      <c r="C122" t="s">
        <v>699</v>
      </c>
      <c r="D122" t="s">
        <v>700</v>
      </c>
      <c r="E122" t="s">
        <v>701</v>
      </c>
      <c r="F122" t="s">
        <v>702</v>
      </c>
    </row>
    <row r="123" spans="1:6" x14ac:dyDescent="0.35">
      <c r="A123" t="s">
        <v>703</v>
      </c>
      <c r="B123" t="s">
        <v>704</v>
      </c>
      <c r="C123" t="s">
        <v>705</v>
      </c>
      <c r="D123" t="s">
        <v>706</v>
      </c>
      <c r="E123" t="s">
        <v>707</v>
      </c>
      <c r="F123" t="s">
        <v>708</v>
      </c>
    </row>
    <row r="124" spans="1:6" x14ac:dyDescent="0.35">
      <c r="A124" t="s">
        <v>709</v>
      </c>
      <c r="B124" t="s">
        <v>710</v>
      </c>
      <c r="C124" t="s">
        <v>711</v>
      </c>
      <c r="D124" t="s">
        <v>712</v>
      </c>
      <c r="E124" t="s">
        <v>713</v>
      </c>
      <c r="F124" t="s">
        <v>714</v>
      </c>
    </row>
    <row r="125" spans="1:6" x14ac:dyDescent="0.35">
      <c r="A125" t="s">
        <v>715</v>
      </c>
      <c r="B125" t="s">
        <v>716</v>
      </c>
      <c r="C125" t="s">
        <v>717</v>
      </c>
      <c r="D125" t="s">
        <v>718</v>
      </c>
      <c r="E125" t="s">
        <v>719</v>
      </c>
      <c r="F125" t="s">
        <v>720</v>
      </c>
    </row>
    <row r="126" spans="1:6" x14ac:dyDescent="0.35">
      <c r="A126" t="s">
        <v>721</v>
      </c>
      <c r="B126" t="s">
        <v>722</v>
      </c>
      <c r="C126" t="s">
        <v>723</v>
      </c>
      <c r="D126" t="s">
        <v>724</v>
      </c>
      <c r="E126" t="s">
        <v>725</v>
      </c>
      <c r="F126" t="s">
        <v>726</v>
      </c>
    </row>
    <row r="127" spans="1:6" x14ac:dyDescent="0.35">
      <c r="A127" t="s">
        <v>727</v>
      </c>
      <c r="B127" t="s">
        <v>728</v>
      </c>
      <c r="C127" t="s">
        <v>729</v>
      </c>
      <c r="D127" t="s">
        <v>730</v>
      </c>
      <c r="E127" t="s">
        <v>731</v>
      </c>
      <c r="F127" t="s">
        <v>732</v>
      </c>
    </row>
    <row r="128" spans="1:6" x14ac:dyDescent="0.35">
      <c r="A128" t="s">
        <v>733</v>
      </c>
      <c r="B128" t="s">
        <v>734</v>
      </c>
      <c r="C128" t="s">
        <v>735</v>
      </c>
      <c r="D128" t="s">
        <v>736</v>
      </c>
      <c r="E128" t="s">
        <v>737</v>
      </c>
      <c r="F128" t="s">
        <v>738</v>
      </c>
    </row>
    <row r="129" spans="1:6" x14ac:dyDescent="0.35">
      <c r="A129" t="s">
        <v>739</v>
      </c>
      <c r="B129" t="s">
        <v>739</v>
      </c>
      <c r="C129" t="s">
        <v>740</v>
      </c>
      <c r="D129" t="s">
        <v>741</v>
      </c>
      <c r="E129" t="s">
        <v>742</v>
      </c>
      <c r="F129" t="s">
        <v>743</v>
      </c>
    </row>
    <row r="130" spans="1:6" x14ac:dyDescent="0.35">
      <c r="A130" t="s">
        <v>744</v>
      </c>
      <c r="B130" t="s">
        <v>745</v>
      </c>
      <c r="C130" t="s">
        <v>746</v>
      </c>
      <c r="D130" t="s">
        <v>747</v>
      </c>
      <c r="E130" t="s">
        <v>748</v>
      </c>
      <c r="F130" t="s">
        <v>749</v>
      </c>
    </row>
    <row r="131" spans="1:6" x14ac:dyDescent="0.35">
      <c r="A131" t="s">
        <v>750</v>
      </c>
      <c r="B131" t="s">
        <v>751</v>
      </c>
      <c r="C131" t="s">
        <v>752</v>
      </c>
      <c r="D131" t="s">
        <v>753</v>
      </c>
      <c r="E131" t="s">
        <v>754</v>
      </c>
      <c r="F131" t="s">
        <v>755</v>
      </c>
    </row>
    <row r="132" spans="1:6" x14ac:dyDescent="0.35">
      <c r="A132" t="s">
        <v>756</v>
      </c>
      <c r="B132" t="s">
        <v>757</v>
      </c>
      <c r="C132" t="s">
        <v>758</v>
      </c>
      <c r="D132" t="s">
        <v>759</v>
      </c>
      <c r="E132" t="s">
        <v>760</v>
      </c>
      <c r="F132" t="s">
        <v>761</v>
      </c>
    </row>
    <row r="133" spans="1:6" x14ac:dyDescent="0.35">
      <c r="A133" t="s">
        <v>762</v>
      </c>
      <c r="B133" t="s">
        <v>763</v>
      </c>
      <c r="C133" t="s">
        <v>764</v>
      </c>
      <c r="D133" t="s">
        <v>765</v>
      </c>
      <c r="E133" t="s">
        <v>766</v>
      </c>
      <c r="F133" t="s">
        <v>767</v>
      </c>
    </row>
    <row r="134" spans="1:6" x14ac:dyDescent="0.35">
      <c r="A134" t="s">
        <v>768</v>
      </c>
      <c r="B134" t="s">
        <v>769</v>
      </c>
      <c r="C134" t="s">
        <v>770</v>
      </c>
      <c r="D134" t="s">
        <v>771</v>
      </c>
      <c r="E134" t="s">
        <v>772</v>
      </c>
      <c r="F134" t="s">
        <v>773</v>
      </c>
    </row>
    <row r="135" spans="1:6" x14ac:dyDescent="0.35">
      <c r="A135" t="s">
        <v>774</v>
      </c>
      <c r="B135" t="s">
        <v>775</v>
      </c>
      <c r="C135" t="s">
        <v>776</v>
      </c>
      <c r="D135" t="s">
        <v>777</v>
      </c>
      <c r="E135" t="s">
        <v>778</v>
      </c>
      <c r="F135" t="s">
        <v>779</v>
      </c>
    </row>
    <row r="136" spans="1:6" x14ac:dyDescent="0.35">
      <c r="A136" t="s">
        <v>780</v>
      </c>
      <c r="B136" t="s">
        <v>781</v>
      </c>
      <c r="C136" t="s">
        <v>782</v>
      </c>
      <c r="D136" t="s">
        <v>783</v>
      </c>
      <c r="E136" t="s">
        <v>784</v>
      </c>
      <c r="F136" t="s">
        <v>785</v>
      </c>
    </row>
    <row r="137" spans="1:6" x14ac:dyDescent="0.35">
      <c r="A137" t="s">
        <v>786</v>
      </c>
      <c r="B137" t="s">
        <v>787</v>
      </c>
      <c r="C137" t="s">
        <v>788</v>
      </c>
      <c r="D137" t="s">
        <v>789</v>
      </c>
      <c r="F137" t="s">
        <v>790</v>
      </c>
    </row>
    <row r="138" spans="1:6" x14ac:dyDescent="0.35">
      <c r="A138" t="s">
        <v>791</v>
      </c>
      <c r="B138" t="s">
        <v>792</v>
      </c>
      <c r="C138" t="s">
        <v>793</v>
      </c>
      <c r="D138" t="s">
        <v>794</v>
      </c>
      <c r="E138" t="s">
        <v>795</v>
      </c>
      <c r="F138" t="s">
        <v>796</v>
      </c>
    </row>
    <row r="139" spans="1:6" x14ac:dyDescent="0.35">
      <c r="A139" t="s">
        <v>797</v>
      </c>
      <c r="B139" t="s">
        <v>798</v>
      </c>
      <c r="C139" t="s">
        <v>799</v>
      </c>
      <c r="D139" t="s">
        <v>800</v>
      </c>
      <c r="E139" t="s">
        <v>801</v>
      </c>
      <c r="F139" t="s">
        <v>802</v>
      </c>
    </row>
    <row r="140" spans="1:6" x14ac:dyDescent="0.35">
      <c r="A140" t="s">
        <v>803</v>
      </c>
      <c r="B140" t="s">
        <v>804</v>
      </c>
      <c r="C140" t="s">
        <v>805</v>
      </c>
      <c r="D140" t="s">
        <v>806</v>
      </c>
      <c r="E140" t="s">
        <v>807</v>
      </c>
      <c r="F140" t="s">
        <v>808</v>
      </c>
    </row>
    <row r="141" spans="1:6" x14ac:dyDescent="0.35">
      <c r="A141" t="s">
        <v>809</v>
      </c>
      <c r="B141" t="s">
        <v>810</v>
      </c>
      <c r="C141" t="s">
        <v>811</v>
      </c>
      <c r="D141" t="s">
        <v>812</v>
      </c>
      <c r="E141" t="s">
        <v>813</v>
      </c>
      <c r="F141" t="s">
        <v>814</v>
      </c>
    </row>
    <row r="142" spans="1:6" x14ac:dyDescent="0.35">
      <c r="A142" t="s">
        <v>815</v>
      </c>
      <c r="B142" t="s">
        <v>816</v>
      </c>
      <c r="C142" t="s">
        <v>817</v>
      </c>
      <c r="D142" t="s">
        <v>818</v>
      </c>
      <c r="E142" t="s">
        <v>819</v>
      </c>
      <c r="F142" t="s">
        <v>820</v>
      </c>
    </row>
    <row r="143" spans="1:6" x14ac:dyDescent="0.35">
      <c r="A143" t="s">
        <v>821</v>
      </c>
      <c r="B143" t="s">
        <v>822</v>
      </c>
      <c r="C143" t="s">
        <v>823</v>
      </c>
      <c r="D143" t="s">
        <v>824</v>
      </c>
      <c r="E143" t="s">
        <v>825</v>
      </c>
      <c r="F143" t="s">
        <v>826</v>
      </c>
    </row>
    <row r="144" spans="1:6" x14ac:dyDescent="0.35">
      <c r="A144" t="s">
        <v>827</v>
      </c>
      <c r="B144" t="s">
        <v>827</v>
      </c>
      <c r="C144" t="s">
        <v>828</v>
      </c>
      <c r="D144" t="s">
        <v>829</v>
      </c>
      <c r="E144" t="s">
        <v>830</v>
      </c>
      <c r="F144" t="s">
        <v>831</v>
      </c>
    </row>
    <row r="145" spans="1:6" x14ac:dyDescent="0.35">
      <c r="A145" t="s">
        <v>832</v>
      </c>
      <c r="B145" t="s">
        <v>833</v>
      </c>
      <c r="C145" t="s">
        <v>834</v>
      </c>
      <c r="D145" t="s">
        <v>835</v>
      </c>
      <c r="E145" t="s">
        <v>836</v>
      </c>
      <c r="F145" t="s">
        <v>837</v>
      </c>
    </row>
    <row r="146" spans="1:6" x14ac:dyDescent="0.35">
      <c r="A146" t="s">
        <v>838</v>
      </c>
      <c r="B146" t="s">
        <v>838</v>
      </c>
      <c r="C146" t="s">
        <v>839</v>
      </c>
      <c r="D146" t="s">
        <v>840</v>
      </c>
      <c r="E146" t="s">
        <v>841</v>
      </c>
      <c r="F146" t="s">
        <v>842</v>
      </c>
    </row>
    <row r="147" spans="1:6" x14ac:dyDescent="0.35">
      <c r="A147" t="s">
        <v>843</v>
      </c>
      <c r="B147" t="s">
        <v>844</v>
      </c>
      <c r="C147" t="s">
        <v>845</v>
      </c>
      <c r="D147" t="s">
        <v>846</v>
      </c>
      <c r="E147" t="s">
        <v>847</v>
      </c>
      <c r="F147" t="s">
        <v>848</v>
      </c>
    </row>
    <row r="148" spans="1:6" x14ac:dyDescent="0.35">
      <c r="A148" t="s">
        <v>849</v>
      </c>
      <c r="B148" t="s">
        <v>850</v>
      </c>
      <c r="C148" t="s">
        <v>507</v>
      </c>
      <c r="D148" t="s">
        <v>851</v>
      </c>
      <c r="E148" t="s">
        <v>852</v>
      </c>
      <c r="F148" t="s">
        <v>853</v>
      </c>
    </row>
    <row r="149" spans="1:6" x14ac:dyDescent="0.35">
      <c r="A149" t="s">
        <v>854</v>
      </c>
      <c r="B149" t="s">
        <v>855</v>
      </c>
      <c r="C149" t="s">
        <v>856</v>
      </c>
      <c r="D149" t="s">
        <v>857</v>
      </c>
      <c r="E149" t="s">
        <v>858</v>
      </c>
      <c r="F149" t="s">
        <v>859</v>
      </c>
    </row>
    <row r="150" spans="1:6" x14ac:dyDescent="0.35">
      <c r="A150" t="s">
        <v>860</v>
      </c>
      <c r="B150" t="s">
        <v>861</v>
      </c>
      <c r="C150" t="s">
        <v>862</v>
      </c>
      <c r="D150" t="s">
        <v>863</v>
      </c>
      <c r="E150" t="s">
        <v>864</v>
      </c>
      <c r="F150" t="s">
        <v>865</v>
      </c>
    </row>
    <row r="151" spans="1:6" x14ac:dyDescent="0.35">
      <c r="A151" t="s">
        <v>866</v>
      </c>
      <c r="B151" t="s">
        <v>867</v>
      </c>
      <c r="C151" t="s">
        <v>868</v>
      </c>
      <c r="D151" t="s">
        <v>869</v>
      </c>
      <c r="E151" t="s">
        <v>870</v>
      </c>
      <c r="F151" t="s">
        <v>871</v>
      </c>
    </row>
    <row r="152" spans="1:6" x14ac:dyDescent="0.35">
      <c r="A152" t="s">
        <v>872</v>
      </c>
      <c r="B152" t="s">
        <v>873</v>
      </c>
      <c r="C152" t="s">
        <v>874</v>
      </c>
      <c r="D152" t="s">
        <v>875</v>
      </c>
      <c r="E152" t="s">
        <v>876</v>
      </c>
      <c r="F152" t="s">
        <v>877</v>
      </c>
    </row>
    <row r="153" spans="1:6" x14ac:dyDescent="0.35">
      <c r="A153" t="s">
        <v>878</v>
      </c>
      <c r="B153" t="s">
        <v>879</v>
      </c>
      <c r="C153" t="s">
        <v>880</v>
      </c>
      <c r="D153" t="s">
        <v>881</v>
      </c>
      <c r="E153" t="s">
        <v>882</v>
      </c>
      <c r="F153" t="s">
        <v>883</v>
      </c>
    </row>
    <row r="154" spans="1:6" x14ac:dyDescent="0.35">
      <c r="A154" t="s">
        <v>884</v>
      </c>
      <c r="B154" t="s">
        <v>885</v>
      </c>
      <c r="C154" t="s">
        <v>886</v>
      </c>
      <c r="D154" t="s">
        <v>887</v>
      </c>
      <c r="E154" t="s">
        <v>888</v>
      </c>
      <c r="F154" t="s">
        <v>889</v>
      </c>
    </row>
    <row r="155" spans="1:6" x14ac:dyDescent="0.35">
      <c r="A155" t="s">
        <v>890</v>
      </c>
      <c r="B155" t="s">
        <v>891</v>
      </c>
      <c r="C155" t="s">
        <v>892</v>
      </c>
      <c r="D155" t="s">
        <v>893</v>
      </c>
      <c r="E155" t="s">
        <v>894</v>
      </c>
      <c r="F155" t="s">
        <v>895</v>
      </c>
    </row>
    <row r="156" spans="1:6" x14ac:dyDescent="0.35">
      <c r="A156" t="s">
        <v>896</v>
      </c>
      <c r="B156" t="s">
        <v>897</v>
      </c>
      <c r="C156" t="s">
        <v>898</v>
      </c>
      <c r="D156" t="s">
        <v>899</v>
      </c>
      <c r="E156" t="s">
        <v>900</v>
      </c>
      <c r="F156" t="s">
        <v>901</v>
      </c>
    </row>
    <row r="157" spans="1:6" x14ac:dyDescent="0.35">
      <c r="A157" t="s">
        <v>902</v>
      </c>
      <c r="B157" t="s">
        <v>903</v>
      </c>
      <c r="C157" t="s">
        <v>758</v>
      </c>
      <c r="D157" t="s">
        <v>904</v>
      </c>
      <c r="E157" t="s">
        <v>905</v>
      </c>
      <c r="F157" t="s">
        <v>906</v>
      </c>
    </row>
    <row r="158" spans="1:6" x14ac:dyDescent="0.35">
      <c r="A158" t="s">
        <v>907</v>
      </c>
      <c r="B158" t="s">
        <v>908</v>
      </c>
      <c r="C158" t="s">
        <v>909</v>
      </c>
      <c r="D158" t="s">
        <v>910</v>
      </c>
      <c r="F158" t="s">
        <v>911</v>
      </c>
    </row>
    <row r="159" spans="1:6" x14ac:dyDescent="0.35">
      <c r="A159" t="s">
        <v>912</v>
      </c>
      <c r="B159" t="s">
        <v>913</v>
      </c>
      <c r="C159" t="s">
        <v>914</v>
      </c>
      <c r="D159" t="s">
        <v>915</v>
      </c>
      <c r="E159" t="s">
        <v>916</v>
      </c>
      <c r="F159" t="s">
        <v>917</v>
      </c>
    </row>
    <row r="160" spans="1:6" x14ac:dyDescent="0.35">
      <c r="A160" t="s">
        <v>918</v>
      </c>
      <c r="B160" t="s">
        <v>919</v>
      </c>
      <c r="C160" t="s">
        <v>920</v>
      </c>
      <c r="D160" t="s">
        <v>921</v>
      </c>
      <c r="E160" t="s">
        <v>922</v>
      </c>
      <c r="F160" t="s">
        <v>923</v>
      </c>
    </row>
    <row r="161" spans="1:6" x14ac:dyDescent="0.35">
      <c r="A161" t="s">
        <v>924</v>
      </c>
      <c r="B161" t="s">
        <v>925</v>
      </c>
      <c r="C161" t="s">
        <v>926</v>
      </c>
      <c r="D161" t="s">
        <v>927</v>
      </c>
      <c r="E161" t="s">
        <v>928</v>
      </c>
      <c r="F161" t="s">
        <v>121</v>
      </c>
    </row>
    <row r="162" spans="1:6" x14ac:dyDescent="0.35">
      <c r="A162" t="s">
        <v>929</v>
      </c>
      <c r="B162" t="s">
        <v>930</v>
      </c>
      <c r="C162" t="s">
        <v>931</v>
      </c>
      <c r="D162" t="s">
        <v>932</v>
      </c>
      <c r="E162" t="s">
        <v>933</v>
      </c>
      <c r="F162" t="s">
        <v>934</v>
      </c>
    </row>
    <row r="163" spans="1:6" x14ac:dyDescent="0.35">
      <c r="A163" t="s">
        <v>935</v>
      </c>
      <c r="B163" t="s">
        <v>936</v>
      </c>
      <c r="C163" t="s">
        <v>937</v>
      </c>
      <c r="D163" t="s">
        <v>938</v>
      </c>
      <c r="E163" t="s">
        <v>939</v>
      </c>
      <c r="F163" t="s">
        <v>940</v>
      </c>
    </row>
    <row r="164" spans="1:6" x14ac:dyDescent="0.35">
      <c r="A164" t="s">
        <v>941</v>
      </c>
      <c r="B164" t="s">
        <v>942</v>
      </c>
      <c r="C164" t="s">
        <v>943</v>
      </c>
      <c r="D164" t="s">
        <v>944</v>
      </c>
      <c r="E164" t="s">
        <v>945</v>
      </c>
      <c r="F164" t="s">
        <v>946</v>
      </c>
    </row>
    <row r="165" spans="1:6" x14ac:dyDescent="0.35">
      <c r="A165" t="s">
        <v>947</v>
      </c>
      <c r="B165" t="s">
        <v>948</v>
      </c>
      <c r="C165" t="s">
        <v>949</v>
      </c>
      <c r="D165" t="s">
        <v>950</v>
      </c>
      <c r="E165" t="s">
        <v>951</v>
      </c>
      <c r="F165" t="s">
        <v>952</v>
      </c>
    </row>
    <row r="166" spans="1:6" x14ac:dyDescent="0.35">
      <c r="A166" t="s">
        <v>953</v>
      </c>
      <c r="B166" t="s">
        <v>953</v>
      </c>
      <c r="C166" t="s">
        <v>954</v>
      </c>
      <c r="D166" t="s">
        <v>955</v>
      </c>
      <c r="E166" t="s">
        <v>956</v>
      </c>
      <c r="F166" t="s">
        <v>957</v>
      </c>
    </row>
    <row r="167" spans="1:6" x14ac:dyDescent="0.35">
      <c r="A167" t="s">
        <v>958</v>
      </c>
      <c r="B167" t="s">
        <v>958</v>
      </c>
      <c r="C167" t="s">
        <v>959</v>
      </c>
      <c r="D167" t="s">
        <v>960</v>
      </c>
      <c r="E167" t="s">
        <v>961</v>
      </c>
      <c r="F167" t="s">
        <v>962</v>
      </c>
    </row>
    <row r="168" spans="1:6" x14ac:dyDescent="0.35">
      <c r="A168" t="s">
        <v>963</v>
      </c>
      <c r="B168" t="s">
        <v>964</v>
      </c>
      <c r="C168" t="s">
        <v>965</v>
      </c>
      <c r="D168" t="s">
        <v>966</v>
      </c>
      <c r="E168" t="s">
        <v>967</v>
      </c>
      <c r="F168" t="s">
        <v>968</v>
      </c>
    </row>
    <row r="169" spans="1:6" x14ac:dyDescent="0.35">
      <c r="A169" t="s">
        <v>969</v>
      </c>
      <c r="B169" t="s">
        <v>970</v>
      </c>
      <c r="C169" t="s">
        <v>971</v>
      </c>
      <c r="D169" t="s">
        <v>972</v>
      </c>
      <c r="E169" t="s">
        <v>973</v>
      </c>
      <c r="F169" t="s">
        <v>974</v>
      </c>
    </row>
    <row r="170" spans="1:6" x14ac:dyDescent="0.35">
      <c r="A170" t="s">
        <v>975</v>
      </c>
      <c r="B170" t="s">
        <v>976</v>
      </c>
      <c r="C170" t="s">
        <v>977</v>
      </c>
      <c r="D170" t="s">
        <v>978</v>
      </c>
      <c r="E170" t="s">
        <v>979</v>
      </c>
      <c r="F170" t="s">
        <v>980</v>
      </c>
    </row>
    <row r="171" spans="1:6" x14ac:dyDescent="0.35">
      <c r="A171" t="s">
        <v>981</v>
      </c>
      <c r="B171" t="s">
        <v>982</v>
      </c>
      <c r="C171" t="s">
        <v>983</v>
      </c>
      <c r="D171" t="s">
        <v>984</v>
      </c>
      <c r="E171" t="s">
        <v>985</v>
      </c>
      <c r="F171" t="s">
        <v>986</v>
      </c>
    </row>
    <row r="172" spans="1:6" x14ac:dyDescent="0.35">
      <c r="A172" t="s">
        <v>987</v>
      </c>
      <c r="B172" t="s">
        <v>988</v>
      </c>
      <c r="C172" t="s">
        <v>989</v>
      </c>
      <c r="D172" t="s">
        <v>990</v>
      </c>
      <c r="E172" t="s">
        <v>991</v>
      </c>
      <c r="F172" t="s">
        <v>992</v>
      </c>
    </row>
    <row r="173" spans="1:6" x14ac:dyDescent="0.35">
      <c r="A173" t="s">
        <v>993</v>
      </c>
      <c r="B173" t="s">
        <v>994</v>
      </c>
      <c r="C173" t="s">
        <v>995</v>
      </c>
      <c r="D173" t="s">
        <v>996</v>
      </c>
      <c r="E173" t="s">
        <v>997</v>
      </c>
      <c r="F173" t="s">
        <v>998</v>
      </c>
    </row>
    <row r="174" spans="1:6" x14ac:dyDescent="0.35">
      <c r="A174" t="s">
        <v>999</v>
      </c>
      <c r="B174" t="s">
        <v>999</v>
      </c>
      <c r="C174" t="s">
        <v>1000</v>
      </c>
      <c r="D174" t="s">
        <v>1001</v>
      </c>
      <c r="E174" t="s">
        <v>1002</v>
      </c>
      <c r="F174" t="s">
        <v>1003</v>
      </c>
    </row>
    <row r="175" spans="1:6" x14ac:dyDescent="0.35">
      <c r="A175" t="s">
        <v>1004</v>
      </c>
      <c r="B175" t="s">
        <v>1005</v>
      </c>
      <c r="C175" t="s">
        <v>1006</v>
      </c>
      <c r="D175" t="s">
        <v>1007</v>
      </c>
      <c r="E175" t="s">
        <v>1008</v>
      </c>
      <c r="F175" t="s">
        <v>1009</v>
      </c>
    </row>
    <row r="176" spans="1:6" x14ac:dyDescent="0.35">
      <c r="A176" t="s">
        <v>1010</v>
      </c>
      <c r="B176" t="s">
        <v>1011</v>
      </c>
      <c r="C176" t="s">
        <v>1012</v>
      </c>
      <c r="D176" t="s">
        <v>1013</v>
      </c>
      <c r="E176" t="s">
        <v>1014</v>
      </c>
      <c r="F176" t="s">
        <v>1015</v>
      </c>
    </row>
    <row r="177" spans="1:6" x14ac:dyDescent="0.35">
      <c r="A177" t="s">
        <v>1016</v>
      </c>
      <c r="B177" t="s">
        <v>1017</v>
      </c>
      <c r="C177" t="s">
        <v>1018</v>
      </c>
      <c r="D177" t="s">
        <v>1019</v>
      </c>
      <c r="E177" t="s">
        <v>1020</v>
      </c>
      <c r="F177" t="s">
        <v>1021</v>
      </c>
    </row>
    <row r="178" spans="1:6" x14ac:dyDescent="0.35">
      <c r="A178" t="s">
        <v>1022</v>
      </c>
      <c r="B178" t="s">
        <v>1023</v>
      </c>
      <c r="C178" t="s">
        <v>1024</v>
      </c>
      <c r="D178" t="s">
        <v>1025</v>
      </c>
      <c r="E178" t="s">
        <v>1026</v>
      </c>
      <c r="F178" t="s">
        <v>1027</v>
      </c>
    </row>
    <row r="179" spans="1:6" x14ac:dyDescent="0.35">
      <c r="A179" t="s">
        <v>1028</v>
      </c>
      <c r="B179" t="s">
        <v>1029</v>
      </c>
      <c r="C179" t="s">
        <v>1030</v>
      </c>
      <c r="D179" t="s">
        <v>1031</v>
      </c>
      <c r="E179" t="s">
        <v>1032</v>
      </c>
      <c r="F179" t="s">
        <v>1033</v>
      </c>
    </row>
    <row r="180" spans="1:6" x14ac:dyDescent="0.35">
      <c r="A180" t="s">
        <v>1034</v>
      </c>
      <c r="B180" t="s">
        <v>1035</v>
      </c>
      <c r="C180" t="s">
        <v>1036</v>
      </c>
      <c r="D180" t="s">
        <v>1037</v>
      </c>
      <c r="E180" t="s">
        <v>1038</v>
      </c>
      <c r="F180" t="s">
        <v>1039</v>
      </c>
    </row>
    <row r="181" spans="1:6" x14ac:dyDescent="0.35">
      <c r="A181" t="s">
        <v>1040</v>
      </c>
      <c r="B181" t="s">
        <v>1041</v>
      </c>
      <c r="C181" t="s">
        <v>1042</v>
      </c>
      <c r="D181" t="s">
        <v>1043</v>
      </c>
      <c r="E181" t="s">
        <v>1044</v>
      </c>
      <c r="F181" t="s">
        <v>1045</v>
      </c>
    </row>
    <row r="182" spans="1:6" x14ac:dyDescent="0.35">
      <c r="A182" t="s">
        <v>1046</v>
      </c>
      <c r="B182" t="s">
        <v>1047</v>
      </c>
      <c r="C182" t="s">
        <v>1048</v>
      </c>
      <c r="D182" t="s">
        <v>1049</v>
      </c>
      <c r="E182" t="s">
        <v>1050</v>
      </c>
      <c r="F182" t="s">
        <v>1051</v>
      </c>
    </row>
    <row r="183" spans="1:6" x14ac:dyDescent="0.35">
      <c r="A183" t="s">
        <v>1052</v>
      </c>
      <c r="B183" t="s">
        <v>1053</v>
      </c>
      <c r="C183" t="s">
        <v>1054</v>
      </c>
      <c r="D183" t="s">
        <v>1055</v>
      </c>
      <c r="E183" t="s">
        <v>1056</v>
      </c>
      <c r="F183" t="s">
        <v>1057</v>
      </c>
    </row>
    <row r="184" spans="1:6" x14ac:dyDescent="0.35">
      <c r="A184" t="s">
        <v>1058</v>
      </c>
      <c r="B184" t="s">
        <v>1058</v>
      </c>
      <c r="C184" t="s">
        <v>1059</v>
      </c>
      <c r="D184" t="s">
        <v>1060</v>
      </c>
      <c r="E184" t="s">
        <v>1061</v>
      </c>
      <c r="F184" t="s">
        <v>1062</v>
      </c>
    </row>
    <row r="185" spans="1:6" x14ac:dyDescent="0.35">
      <c r="A185" t="s">
        <v>1063</v>
      </c>
      <c r="B185" t="s">
        <v>1064</v>
      </c>
      <c r="C185" t="s">
        <v>1065</v>
      </c>
      <c r="D185" t="s">
        <v>1066</v>
      </c>
      <c r="E185" t="s">
        <v>1067</v>
      </c>
      <c r="F185" t="s">
        <v>1068</v>
      </c>
    </row>
    <row r="186" spans="1:6" x14ac:dyDescent="0.35">
      <c r="A186" t="s">
        <v>1069</v>
      </c>
      <c r="B186" t="s">
        <v>1070</v>
      </c>
      <c r="C186" t="s">
        <v>1071</v>
      </c>
      <c r="D186" t="s">
        <v>1072</v>
      </c>
      <c r="E186" t="s">
        <v>1073</v>
      </c>
      <c r="F186" t="s">
        <v>1074</v>
      </c>
    </row>
    <row r="187" spans="1:6" x14ac:dyDescent="0.35">
      <c r="A187" t="s">
        <v>1075</v>
      </c>
      <c r="B187" t="s">
        <v>879</v>
      </c>
      <c r="C187" t="s">
        <v>1076</v>
      </c>
      <c r="D187" t="s">
        <v>1077</v>
      </c>
      <c r="E187" t="s">
        <v>1078</v>
      </c>
      <c r="F187" t="s">
        <v>1079</v>
      </c>
    </row>
    <row r="188" spans="1:6" x14ac:dyDescent="0.35">
      <c r="A188" t="s">
        <v>1080</v>
      </c>
      <c r="B188" t="s">
        <v>1081</v>
      </c>
      <c r="C188" t="s">
        <v>1082</v>
      </c>
      <c r="D188" t="s">
        <v>1083</v>
      </c>
      <c r="E188" t="s">
        <v>1084</v>
      </c>
      <c r="F188" t="s">
        <v>1085</v>
      </c>
    </row>
    <row r="189" spans="1:6" x14ac:dyDescent="0.35">
      <c r="A189" t="s">
        <v>1086</v>
      </c>
      <c r="B189" t="s">
        <v>1087</v>
      </c>
      <c r="C189" t="s">
        <v>1088</v>
      </c>
      <c r="D189" t="s">
        <v>1089</v>
      </c>
      <c r="E189" t="s">
        <v>1090</v>
      </c>
      <c r="F189" t="s">
        <v>1091</v>
      </c>
    </row>
    <row r="190" spans="1:6" x14ac:dyDescent="0.35">
      <c r="A190" t="s">
        <v>1092</v>
      </c>
      <c r="B190" t="s">
        <v>1093</v>
      </c>
      <c r="C190" t="s">
        <v>1094</v>
      </c>
      <c r="D190" t="s">
        <v>1095</v>
      </c>
      <c r="E190" t="s">
        <v>1096</v>
      </c>
      <c r="F190" t="s">
        <v>1097</v>
      </c>
    </row>
    <row r="191" spans="1:6" x14ac:dyDescent="0.35">
      <c r="A191" t="s">
        <v>1098</v>
      </c>
      <c r="B191" t="s">
        <v>1099</v>
      </c>
      <c r="C191" t="s">
        <v>1100</v>
      </c>
      <c r="D191" t="s">
        <v>1101</v>
      </c>
      <c r="E191" t="s">
        <v>1102</v>
      </c>
      <c r="F191" t="s">
        <v>1103</v>
      </c>
    </row>
    <row r="192" spans="1:6" x14ac:dyDescent="0.35">
      <c r="A192" t="s">
        <v>1104</v>
      </c>
      <c r="B192" t="s">
        <v>1105</v>
      </c>
      <c r="C192" t="s">
        <v>1106</v>
      </c>
      <c r="D192" t="s">
        <v>1107</v>
      </c>
      <c r="E192" t="s">
        <v>1108</v>
      </c>
      <c r="F192" t="s">
        <v>1109</v>
      </c>
    </row>
    <row r="193" spans="1:6" x14ac:dyDescent="0.35">
      <c r="A193" t="s">
        <v>1110</v>
      </c>
      <c r="B193" t="s">
        <v>1111</v>
      </c>
      <c r="C193" t="s">
        <v>1112</v>
      </c>
      <c r="D193" t="s">
        <v>1113</v>
      </c>
      <c r="E193" t="s">
        <v>1114</v>
      </c>
      <c r="F193" t="s">
        <v>1115</v>
      </c>
    </row>
    <row r="194" spans="1:6" x14ac:dyDescent="0.35">
      <c r="A194" t="s">
        <v>1116</v>
      </c>
      <c r="B194" t="s">
        <v>1117</v>
      </c>
      <c r="C194" t="s">
        <v>1118</v>
      </c>
      <c r="D194" t="s">
        <v>1119</v>
      </c>
      <c r="E194" t="s">
        <v>1120</v>
      </c>
      <c r="F194" t="s">
        <v>1121</v>
      </c>
    </row>
    <row r="195" spans="1:6" x14ac:dyDescent="0.35">
      <c r="A195" t="s">
        <v>1122</v>
      </c>
      <c r="B195" t="s">
        <v>1123</v>
      </c>
      <c r="C195" t="s">
        <v>1124</v>
      </c>
      <c r="D195" t="s">
        <v>1125</v>
      </c>
      <c r="E195" t="s">
        <v>1126</v>
      </c>
      <c r="F195" t="s">
        <v>1127</v>
      </c>
    </row>
    <row r="196" spans="1:6" x14ac:dyDescent="0.35">
      <c r="A196" t="s">
        <v>1128</v>
      </c>
      <c r="B196" t="s">
        <v>1129</v>
      </c>
      <c r="C196" t="s">
        <v>1130</v>
      </c>
      <c r="D196" t="s">
        <v>1131</v>
      </c>
      <c r="E196" t="s">
        <v>1132</v>
      </c>
      <c r="F196" t="s">
        <v>1133</v>
      </c>
    </row>
    <row r="197" spans="1:6" x14ac:dyDescent="0.35">
      <c r="A197" t="s">
        <v>1134</v>
      </c>
      <c r="B197" t="s">
        <v>1135</v>
      </c>
      <c r="C197" t="s">
        <v>1136</v>
      </c>
      <c r="D197" t="s">
        <v>1137</v>
      </c>
      <c r="E197" t="s">
        <v>1138</v>
      </c>
      <c r="F197" t="s">
        <v>1139</v>
      </c>
    </row>
    <row r="198" spans="1:6" x14ac:dyDescent="0.35">
      <c r="A198" t="s">
        <v>1140</v>
      </c>
      <c r="B198" t="s">
        <v>1141</v>
      </c>
      <c r="C198" t="s">
        <v>1142</v>
      </c>
      <c r="D198" t="s">
        <v>1143</v>
      </c>
      <c r="E198" t="s">
        <v>1144</v>
      </c>
      <c r="F198" t="s">
        <v>1145</v>
      </c>
    </row>
    <row r="199" spans="1:6" x14ac:dyDescent="0.35">
      <c r="A199" t="s">
        <v>1146</v>
      </c>
      <c r="B199" t="s">
        <v>1147</v>
      </c>
      <c r="C199" t="s">
        <v>1148</v>
      </c>
      <c r="D199" t="s">
        <v>1149</v>
      </c>
      <c r="E199" t="s">
        <v>1150</v>
      </c>
      <c r="F199" t="s">
        <v>1151</v>
      </c>
    </row>
    <row r="200" spans="1:6" x14ac:dyDescent="0.35">
      <c r="A200" t="s">
        <v>1152</v>
      </c>
      <c r="B200" t="s">
        <v>1153</v>
      </c>
      <c r="C200" t="s">
        <v>1154</v>
      </c>
      <c r="D200" t="s">
        <v>1155</v>
      </c>
      <c r="E200" t="s">
        <v>1156</v>
      </c>
      <c r="F200" t="s">
        <v>1157</v>
      </c>
    </row>
    <row r="201" spans="1:6" x14ac:dyDescent="0.35">
      <c r="A201" t="s">
        <v>1158</v>
      </c>
      <c r="B201" t="s">
        <v>1159</v>
      </c>
      <c r="C201" t="s">
        <v>1160</v>
      </c>
      <c r="D201" t="s">
        <v>1161</v>
      </c>
      <c r="E201" t="s">
        <v>1162</v>
      </c>
      <c r="F201" t="s">
        <v>351</v>
      </c>
    </row>
    <row r="202" spans="1:6" x14ac:dyDescent="0.35">
      <c r="A202" t="s">
        <v>1163</v>
      </c>
      <c r="B202" t="s">
        <v>1164</v>
      </c>
      <c r="C202" t="s">
        <v>1165</v>
      </c>
      <c r="D202" t="s">
        <v>1166</v>
      </c>
      <c r="E202" t="s">
        <v>1167</v>
      </c>
      <c r="F202" t="s">
        <v>1168</v>
      </c>
    </row>
    <row r="203" spans="1:6" x14ac:dyDescent="0.35">
      <c r="A203" t="s">
        <v>1169</v>
      </c>
      <c r="B203" t="s">
        <v>1170</v>
      </c>
      <c r="C203" t="s">
        <v>1171</v>
      </c>
      <c r="D203" t="s">
        <v>1172</v>
      </c>
      <c r="E203" t="s">
        <v>1173</v>
      </c>
      <c r="F203" t="s">
        <v>1174</v>
      </c>
    </row>
    <row r="204" spans="1:6" x14ac:dyDescent="0.35">
      <c r="A204" t="s">
        <v>1175</v>
      </c>
      <c r="B204" t="s">
        <v>1176</v>
      </c>
      <c r="C204" t="s">
        <v>1177</v>
      </c>
      <c r="D204" t="s">
        <v>1178</v>
      </c>
      <c r="E204" t="s">
        <v>1179</v>
      </c>
      <c r="F204" t="s">
        <v>1180</v>
      </c>
    </row>
    <row r="205" spans="1:6" x14ac:dyDescent="0.35">
      <c r="A205" t="s">
        <v>1181</v>
      </c>
      <c r="B205" t="s">
        <v>1182</v>
      </c>
      <c r="C205" t="s">
        <v>1183</v>
      </c>
      <c r="D205" t="s">
        <v>1184</v>
      </c>
      <c r="E205" t="s">
        <v>1185</v>
      </c>
      <c r="F205" t="s">
        <v>1186</v>
      </c>
    </row>
    <row r="206" spans="1:6" x14ac:dyDescent="0.35">
      <c r="A206" t="s">
        <v>1187</v>
      </c>
      <c r="B206" t="s">
        <v>1188</v>
      </c>
      <c r="C206" t="s">
        <v>1189</v>
      </c>
      <c r="D206" t="s">
        <v>1190</v>
      </c>
      <c r="E206" t="s">
        <v>1191</v>
      </c>
      <c r="F206" t="s">
        <v>1192</v>
      </c>
    </row>
    <row r="207" spans="1:6" x14ac:dyDescent="0.35">
      <c r="A207" t="s">
        <v>1193</v>
      </c>
      <c r="B207" t="s">
        <v>1194</v>
      </c>
      <c r="C207" t="s">
        <v>1195</v>
      </c>
      <c r="D207" t="s">
        <v>1196</v>
      </c>
      <c r="F207" t="s">
        <v>1197</v>
      </c>
    </row>
    <row r="208" spans="1:6" x14ac:dyDescent="0.35">
      <c r="A208" t="s">
        <v>1198</v>
      </c>
      <c r="B208" t="s">
        <v>1199</v>
      </c>
      <c r="C208" t="s">
        <v>1200</v>
      </c>
      <c r="D208" t="s">
        <v>1201</v>
      </c>
      <c r="E208" t="s">
        <v>1202</v>
      </c>
      <c r="F208" t="s">
        <v>1203</v>
      </c>
    </row>
    <row r="209" spans="1:6" x14ac:dyDescent="0.35">
      <c r="A209" t="s">
        <v>1204</v>
      </c>
      <c r="B209" t="s">
        <v>1205</v>
      </c>
      <c r="C209" t="s">
        <v>1206</v>
      </c>
      <c r="D209" t="s">
        <v>1207</v>
      </c>
      <c r="E209" t="s">
        <v>1208</v>
      </c>
      <c r="F209" t="s">
        <v>1209</v>
      </c>
    </row>
    <row r="210" spans="1:6" x14ac:dyDescent="0.35">
      <c r="A210" t="s">
        <v>1210</v>
      </c>
      <c r="B210" t="s">
        <v>1211</v>
      </c>
      <c r="C210" t="s">
        <v>1212</v>
      </c>
      <c r="D210" t="s">
        <v>1213</v>
      </c>
      <c r="E210" t="s">
        <v>1214</v>
      </c>
      <c r="F210" t="s">
        <v>1215</v>
      </c>
    </row>
    <row r="211" spans="1:6" x14ac:dyDescent="0.35">
      <c r="A211" t="s">
        <v>1216</v>
      </c>
      <c r="B211" t="s">
        <v>1217</v>
      </c>
      <c r="C211" t="s">
        <v>1218</v>
      </c>
      <c r="D211" t="s">
        <v>1219</v>
      </c>
      <c r="E211" t="s">
        <v>1220</v>
      </c>
      <c r="F211" t="s">
        <v>1221</v>
      </c>
    </row>
    <row r="212" spans="1:6" x14ac:dyDescent="0.35">
      <c r="A212" t="s">
        <v>1222</v>
      </c>
      <c r="B212" t="s">
        <v>1223</v>
      </c>
      <c r="C212" t="s">
        <v>1224</v>
      </c>
      <c r="D212" t="s">
        <v>1225</v>
      </c>
      <c r="E212" t="s">
        <v>1226</v>
      </c>
      <c r="F212" t="s">
        <v>1227</v>
      </c>
    </row>
    <row r="213" spans="1:6" x14ac:dyDescent="0.35">
      <c r="A213" t="s">
        <v>1228</v>
      </c>
      <c r="B213" t="s">
        <v>1229</v>
      </c>
      <c r="C213" t="s">
        <v>1230</v>
      </c>
      <c r="D213" t="s">
        <v>1231</v>
      </c>
      <c r="E213" t="s">
        <v>1232</v>
      </c>
      <c r="F213" t="s">
        <v>1233</v>
      </c>
    </row>
    <row r="214" spans="1:6" x14ac:dyDescent="0.35">
      <c r="A214" t="s">
        <v>1234</v>
      </c>
      <c r="B214" t="s">
        <v>1235</v>
      </c>
      <c r="C214" t="s">
        <v>1236</v>
      </c>
      <c r="D214" t="s">
        <v>1237</v>
      </c>
      <c r="E214" t="s">
        <v>1238</v>
      </c>
      <c r="F214" t="s">
        <v>1239</v>
      </c>
    </row>
    <row r="215" spans="1:6" x14ac:dyDescent="0.35">
      <c r="A215" t="s">
        <v>1240</v>
      </c>
      <c r="B215" t="s">
        <v>1241</v>
      </c>
      <c r="C215" t="s">
        <v>1242</v>
      </c>
      <c r="D215" t="s">
        <v>1243</v>
      </c>
      <c r="E215" t="s">
        <v>1244</v>
      </c>
      <c r="F215" t="s">
        <v>1245</v>
      </c>
    </row>
    <row r="216" spans="1:6" x14ac:dyDescent="0.35">
      <c r="A216" t="s">
        <v>1246</v>
      </c>
      <c r="B216" t="s">
        <v>1247</v>
      </c>
      <c r="C216" t="s">
        <v>1248</v>
      </c>
      <c r="D216" t="s">
        <v>1249</v>
      </c>
      <c r="F216" t="s">
        <v>1250</v>
      </c>
    </row>
    <row r="217" spans="1:6" x14ac:dyDescent="0.35">
      <c r="A217" t="s">
        <v>1251</v>
      </c>
      <c r="B217" t="s">
        <v>1252</v>
      </c>
      <c r="C217" t="s">
        <v>1253</v>
      </c>
      <c r="D217" t="s">
        <v>1254</v>
      </c>
      <c r="E217" t="s">
        <v>1255</v>
      </c>
      <c r="F217" t="s">
        <v>1256</v>
      </c>
    </row>
    <row r="218" spans="1:6" x14ac:dyDescent="0.35">
      <c r="A218" t="s">
        <v>1257</v>
      </c>
      <c r="B218" t="s">
        <v>1258</v>
      </c>
      <c r="C218" t="s">
        <v>1259</v>
      </c>
      <c r="D218" t="s">
        <v>1260</v>
      </c>
      <c r="F218" t="s">
        <v>1261</v>
      </c>
    </row>
    <row r="219" spans="1:6" x14ac:dyDescent="0.35">
      <c r="A219" t="s">
        <v>1262</v>
      </c>
      <c r="B219" t="s">
        <v>1263</v>
      </c>
      <c r="C219" t="s">
        <v>1264</v>
      </c>
      <c r="D219" t="s">
        <v>1265</v>
      </c>
      <c r="E219" t="s">
        <v>1266</v>
      </c>
      <c r="F219" t="s">
        <v>1267</v>
      </c>
    </row>
    <row r="220" spans="1:6" x14ac:dyDescent="0.35">
      <c r="A220" t="s">
        <v>1268</v>
      </c>
      <c r="B220" t="s">
        <v>1269</v>
      </c>
      <c r="C220" t="s">
        <v>1270</v>
      </c>
      <c r="D220" t="s">
        <v>1271</v>
      </c>
      <c r="E220" t="s">
        <v>1272</v>
      </c>
      <c r="F220" t="s">
        <v>1273</v>
      </c>
    </row>
    <row r="221" spans="1:6" x14ac:dyDescent="0.35">
      <c r="A221" t="s">
        <v>1274</v>
      </c>
      <c r="B221" t="s">
        <v>1275</v>
      </c>
      <c r="C221" t="s">
        <v>1276</v>
      </c>
      <c r="D221" t="s">
        <v>1277</v>
      </c>
      <c r="E221" t="s">
        <v>1278</v>
      </c>
      <c r="F221" t="s">
        <v>1279</v>
      </c>
    </row>
    <row r="222" spans="1:6" x14ac:dyDescent="0.35">
      <c r="A222" t="s">
        <v>1280</v>
      </c>
      <c r="B222" t="s">
        <v>1281</v>
      </c>
      <c r="C222" t="s">
        <v>1282</v>
      </c>
      <c r="D222" t="s">
        <v>1283</v>
      </c>
      <c r="E222" t="s">
        <v>1284</v>
      </c>
      <c r="F222" t="s">
        <v>1285</v>
      </c>
    </row>
    <row r="223" spans="1:6" x14ac:dyDescent="0.35">
      <c r="A223" t="s">
        <v>1286</v>
      </c>
      <c r="B223" t="s">
        <v>1287</v>
      </c>
      <c r="C223" t="s">
        <v>1288</v>
      </c>
      <c r="D223" t="s">
        <v>1289</v>
      </c>
      <c r="E223" t="s">
        <v>1290</v>
      </c>
      <c r="F223" t="s">
        <v>1291</v>
      </c>
    </row>
    <row r="224" spans="1:6" x14ac:dyDescent="0.35">
      <c r="A224" t="s">
        <v>1292</v>
      </c>
      <c r="B224" t="s">
        <v>1293</v>
      </c>
      <c r="C224" t="s">
        <v>1294</v>
      </c>
      <c r="D224" t="s">
        <v>1295</v>
      </c>
      <c r="E224" t="s">
        <v>1296</v>
      </c>
      <c r="F224" t="s">
        <v>1297</v>
      </c>
    </row>
    <row r="225" spans="1:6" x14ac:dyDescent="0.35">
      <c r="A225" t="s">
        <v>1298</v>
      </c>
      <c r="B225" t="s">
        <v>1299</v>
      </c>
      <c r="C225" t="s">
        <v>1300</v>
      </c>
      <c r="D225" t="s">
        <v>1301</v>
      </c>
      <c r="E225" t="s">
        <v>1302</v>
      </c>
      <c r="F225" t="s">
        <v>1303</v>
      </c>
    </row>
    <row r="226" spans="1:6" x14ac:dyDescent="0.35">
      <c r="A226" t="s">
        <v>1304</v>
      </c>
      <c r="B226" t="s">
        <v>1305</v>
      </c>
      <c r="C226" t="s">
        <v>1306</v>
      </c>
      <c r="D226" t="s">
        <v>1307</v>
      </c>
      <c r="E226" t="s">
        <v>1308</v>
      </c>
      <c r="F226" t="s">
        <v>1309</v>
      </c>
    </row>
    <row r="227" spans="1:6" x14ac:dyDescent="0.35">
      <c r="A227" t="s">
        <v>1310</v>
      </c>
      <c r="B227" t="s">
        <v>1310</v>
      </c>
      <c r="C227" t="s">
        <v>1311</v>
      </c>
      <c r="D227" t="s">
        <v>1312</v>
      </c>
      <c r="E227" t="s">
        <v>1313</v>
      </c>
      <c r="F227" t="s">
        <v>1314</v>
      </c>
    </row>
    <row r="228" spans="1:6" x14ac:dyDescent="0.35">
      <c r="A228" t="s">
        <v>1315</v>
      </c>
      <c r="B228" t="s">
        <v>1316</v>
      </c>
      <c r="C228" t="s">
        <v>1317</v>
      </c>
      <c r="D228" t="s">
        <v>1318</v>
      </c>
      <c r="E228" t="s">
        <v>1319</v>
      </c>
      <c r="F228" t="s">
        <v>1320</v>
      </c>
    </row>
    <row r="229" spans="1:6" x14ac:dyDescent="0.35">
      <c r="A229" t="s">
        <v>1321</v>
      </c>
      <c r="B229" t="s">
        <v>1321</v>
      </c>
      <c r="C229" t="s">
        <v>1322</v>
      </c>
      <c r="D229" t="s">
        <v>1323</v>
      </c>
      <c r="E229" t="s">
        <v>1324</v>
      </c>
      <c r="F229" t="s">
        <v>1325</v>
      </c>
    </row>
    <row r="230" spans="1:6" x14ac:dyDescent="0.35">
      <c r="A230" t="s">
        <v>1326</v>
      </c>
      <c r="B230" t="s">
        <v>1327</v>
      </c>
      <c r="C230" t="s">
        <v>1328</v>
      </c>
      <c r="D230" t="s">
        <v>1329</v>
      </c>
      <c r="E230" t="s">
        <v>1330</v>
      </c>
      <c r="F230" t="s">
        <v>1331</v>
      </c>
    </row>
    <row r="231" spans="1:6" x14ac:dyDescent="0.35">
      <c r="A231" t="s">
        <v>1332</v>
      </c>
      <c r="B231" t="s">
        <v>1333</v>
      </c>
      <c r="C231" t="s">
        <v>1334</v>
      </c>
      <c r="D231" t="s">
        <v>1335</v>
      </c>
      <c r="E231" t="s">
        <v>1336</v>
      </c>
      <c r="F231" t="s">
        <v>1337</v>
      </c>
    </row>
    <row r="232" spans="1:6" x14ac:dyDescent="0.35">
      <c r="A232" t="s">
        <v>1338</v>
      </c>
      <c r="B232" t="s">
        <v>1339</v>
      </c>
      <c r="C232" t="s">
        <v>1340</v>
      </c>
      <c r="D232" t="s">
        <v>1341</v>
      </c>
      <c r="E232" t="s">
        <v>1342</v>
      </c>
      <c r="F232" t="s">
        <v>1343</v>
      </c>
    </row>
    <row r="233" spans="1:6" x14ac:dyDescent="0.35">
      <c r="A233" t="s">
        <v>1344</v>
      </c>
      <c r="B233" t="s">
        <v>1345</v>
      </c>
      <c r="C233" t="s">
        <v>1346</v>
      </c>
      <c r="D233" t="s">
        <v>1347</v>
      </c>
      <c r="E233" t="s">
        <v>1348</v>
      </c>
      <c r="F233" t="s">
        <v>1349</v>
      </c>
    </row>
    <row r="234" spans="1:6" x14ac:dyDescent="0.35">
      <c r="A234" t="s">
        <v>1350</v>
      </c>
      <c r="B234" t="s">
        <v>1351</v>
      </c>
      <c r="C234" t="s">
        <v>1352</v>
      </c>
      <c r="D234" t="s">
        <v>1353</v>
      </c>
      <c r="E234" t="s">
        <v>1354</v>
      </c>
      <c r="F234" t="s">
        <v>1355</v>
      </c>
    </row>
    <row r="235" spans="1:6" x14ac:dyDescent="0.35">
      <c r="A235" t="s">
        <v>1356</v>
      </c>
      <c r="B235" t="s">
        <v>1357</v>
      </c>
      <c r="C235" t="s">
        <v>1358</v>
      </c>
      <c r="D235" t="s">
        <v>1359</v>
      </c>
      <c r="E235" t="s">
        <v>1360</v>
      </c>
      <c r="F235" t="s">
        <v>1361</v>
      </c>
    </row>
    <row r="236" spans="1:6" x14ac:dyDescent="0.35">
      <c r="A236" t="s">
        <v>1362</v>
      </c>
      <c r="B236" t="s">
        <v>1363</v>
      </c>
      <c r="C236" t="s">
        <v>1364</v>
      </c>
      <c r="D236" t="s">
        <v>1365</v>
      </c>
      <c r="E236" t="s">
        <v>1366</v>
      </c>
      <c r="F236" t="s">
        <v>1367</v>
      </c>
    </row>
    <row r="237" spans="1:6" x14ac:dyDescent="0.35">
      <c r="A237" t="s">
        <v>1368</v>
      </c>
      <c r="B237" t="s">
        <v>1369</v>
      </c>
      <c r="C237" t="s">
        <v>1370</v>
      </c>
      <c r="D237" t="s">
        <v>1371</v>
      </c>
      <c r="E237" t="s">
        <v>1372</v>
      </c>
      <c r="F237" t="s">
        <v>1373</v>
      </c>
    </row>
    <row r="238" spans="1:6" x14ac:dyDescent="0.35">
      <c r="A238" t="s">
        <v>1374</v>
      </c>
      <c r="B238" t="s">
        <v>1375</v>
      </c>
      <c r="C238" t="s">
        <v>1376</v>
      </c>
      <c r="D238" t="s">
        <v>1377</v>
      </c>
      <c r="E238" t="s">
        <v>1378</v>
      </c>
      <c r="F238" t="s">
        <v>1379</v>
      </c>
    </row>
    <row r="239" spans="1:6" x14ac:dyDescent="0.35">
      <c r="A239" t="s">
        <v>1380</v>
      </c>
      <c r="B239" t="s">
        <v>1381</v>
      </c>
      <c r="C239" t="s">
        <v>1382</v>
      </c>
      <c r="D239" t="s">
        <v>1383</v>
      </c>
      <c r="E239" t="s">
        <v>1384</v>
      </c>
      <c r="F239" t="s">
        <v>1385</v>
      </c>
    </row>
    <row r="240" spans="1:6" x14ac:dyDescent="0.35">
      <c r="A240" t="s">
        <v>1386</v>
      </c>
      <c r="B240" t="s">
        <v>1387</v>
      </c>
      <c r="C240" t="s">
        <v>1388</v>
      </c>
      <c r="D240" t="s">
        <v>1389</v>
      </c>
      <c r="E240" t="s">
        <v>1390</v>
      </c>
      <c r="F240" t="s">
        <v>1391</v>
      </c>
    </row>
    <row r="241" spans="1:6" x14ac:dyDescent="0.35">
      <c r="A241" t="s">
        <v>1392</v>
      </c>
      <c r="B241" t="s">
        <v>1393</v>
      </c>
      <c r="C241" t="s">
        <v>1394</v>
      </c>
      <c r="D241" t="s">
        <v>1395</v>
      </c>
      <c r="E241" t="s">
        <v>1396</v>
      </c>
      <c r="F241" t="s">
        <v>1397</v>
      </c>
    </row>
    <row r="242" spans="1:6" x14ac:dyDescent="0.35">
      <c r="A242" t="s">
        <v>1398</v>
      </c>
      <c r="B242" t="s">
        <v>1399</v>
      </c>
      <c r="C242" t="s">
        <v>1400</v>
      </c>
      <c r="D242" t="s">
        <v>1401</v>
      </c>
      <c r="E242" t="s">
        <v>1402</v>
      </c>
      <c r="F242" t="s">
        <v>1403</v>
      </c>
    </row>
    <row r="243" spans="1:6" x14ac:dyDescent="0.35">
      <c r="A243" t="s">
        <v>1404</v>
      </c>
      <c r="B243" t="s">
        <v>1405</v>
      </c>
      <c r="C243" t="s">
        <v>1406</v>
      </c>
      <c r="D243" t="s">
        <v>1407</v>
      </c>
      <c r="E243" t="s">
        <v>1408</v>
      </c>
      <c r="F243" t="s">
        <v>1409</v>
      </c>
    </row>
    <row r="244" spans="1:6" x14ac:dyDescent="0.35">
      <c r="A244" t="s">
        <v>1410</v>
      </c>
      <c r="B244" t="s">
        <v>1411</v>
      </c>
      <c r="C244" t="s">
        <v>1412</v>
      </c>
      <c r="D244" t="s">
        <v>1413</v>
      </c>
      <c r="E244" t="s">
        <v>1414</v>
      </c>
      <c r="F244" t="s">
        <v>1415</v>
      </c>
    </row>
    <row r="245" spans="1:6" x14ac:dyDescent="0.35">
      <c r="A245" t="s">
        <v>1416</v>
      </c>
      <c r="B245" t="s">
        <v>1417</v>
      </c>
      <c r="C245" t="s">
        <v>1418</v>
      </c>
      <c r="D245" t="s">
        <v>1419</v>
      </c>
      <c r="E245" t="s">
        <v>1420</v>
      </c>
      <c r="F245" t="s">
        <v>1421</v>
      </c>
    </row>
    <row r="246" spans="1:6" x14ac:dyDescent="0.35">
      <c r="A246" t="s">
        <v>1422</v>
      </c>
      <c r="B246" t="s">
        <v>1423</v>
      </c>
      <c r="C246" t="s">
        <v>1424</v>
      </c>
      <c r="D246" t="s">
        <v>1425</v>
      </c>
      <c r="E246" t="s">
        <v>1426</v>
      </c>
      <c r="F246" t="s">
        <v>1427</v>
      </c>
    </row>
    <row r="247" spans="1:6" x14ac:dyDescent="0.35">
      <c r="A247" t="s">
        <v>1428</v>
      </c>
      <c r="B247" t="s">
        <v>1429</v>
      </c>
      <c r="C247" t="s">
        <v>1430</v>
      </c>
      <c r="D247" t="s">
        <v>1431</v>
      </c>
      <c r="E247" t="s">
        <v>1432</v>
      </c>
      <c r="F247" t="s">
        <v>1433</v>
      </c>
    </row>
    <row r="248" spans="1:6" x14ac:dyDescent="0.35">
      <c r="A248" t="s">
        <v>1434</v>
      </c>
      <c r="B248" t="s">
        <v>1435</v>
      </c>
      <c r="C248" t="s">
        <v>1436</v>
      </c>
      <c r="D248" t="s">
        <v>1437</v>
      </c>
      <c r="E248" t="s">
        <v>1438</v>
      </c>
      <c r="F248" t="s">
        <v>1439</v>
      </c>
    </row>
    <row r="249" spans="1:6" x14ac:dyDescent="0.35">
      <c r="A249" t="s">
        <v>1440</v>
      </c>
      <c r="B249" t="s">
        <v>1440</v>
      </c>
      <c r="C249" t="s">
        <v>1441</v>
      </c>
      <c r="D249" t="s">
        <v>1442</v>
      </c>
      <c r="E249" t="s">
        <v>1443</v>
      </c>
      <c r="F249" t="s">
        <v>1444</v>
      </c>
    </row>
    <row r="250" spans="1:6" x14ac:dyDescent="0.35">
      <c r="A250" t="s">
        <v>1445</v>
      </c>
      <c r="B250" t="s">
        <v>1446</v>
      </c>
      <c r="C250" t="s">
        <v>1447</v>
      </c>
      <c r="D250" t="s">
        <v>1448</v>
      </c>
      <c r="E250" t="s">
        <v>1449</v>
      </c>
      <c r="F250" t="s">
        <v>1450</v>
      </c>
    </row>
    <row r="251" spans="1:6" x14ac:dyDescent="0.35">
      <c r="A251" t="s">
        <v>1451</v>
      </c>
      <c r="B251" t="s">
        <v>1452</v>
      </c>
      <c r="C251" t="s">
        <v>1453</v>
      </c>
      <c r="D251" t="s">
        <v>1454</v>
      </c>
      <c r="E251" t="s">
        <v>1455</v>
      </c>
      <c r="F251" t="s">
        <v>1456</v>
      </c>
    </row>
    <row r="252" spans="1:6" x14ac:dyDescent="0.35">
      <c r="A252" t="s">
        <v>1457</v>
      </c>
      <c r="B252" t="s">
        <v>1458</v>
      </c>
      <c r="C252" t="s">
        <v>1459</v>
      </c>
      <c r="D252" t="s">
        <v>1460</v>
      </c>
      <c r="F252" t="s">
        <v>1461</v>
      </c>
    </row>
    <row r="253" spans="1:6" x14ac:dyDescent="0.35">
      <c r="A253" t="s">
        <v>1462</v>
      </c>
      <c r="B253" t="s">
        <v>1463</v>
      </c>
      <c r="C253" t="s">
        <v>1464</v>
      </c>
      <c r="D253" t="s">
        <v>1465</v>
      </c>
      <c r="E253" t="s">
        <v>1466</v>
      </c>
      <c r="F253" t="s">
        <v>1467</v>
      </c>
    </row>
    <row r="254" spans="1:6" x14ac:dyDescent="0.35">
      <c r="A254" t="s">
        <v>1468</v>
      </c>
      <c r="B254" t="s">
        <v>1469</v>
      </c>
      <c r="C254" t="s">
        <v>1470</v>
      </c>
      <c r="D254" t="s">
        <v>1471</v>
      </c>
      <c r="E254" t="s">
        <v>1472</v>
      </c>
      <c r="F254" t="s">
        <v>1473</v>
      </c>
    </row>
    <row r="255" spans="1:6" x14ac:dyDescent="0.35">
      <c r="A255" t="s">
        <v>1474</v>
      </c>
      <c r="B255" t="s">
        <v>1475</v>
      </c>
      <c r="C255" t="s">
        <v>1476</v>
      </c>
      <c r="D255" t="s">
        <v>1477</v>
      </c>
      <c r="E255" t="s">
        <v>1478</v>
      </c>
      <c r="F255" t="s">
        <v>1479</v>
      </c>
    </row>
    <row r="256" spans="1:6" x14ac:dyDescent="0.35">
      <c r="A256" t="s">
        <v>1480</v>
      </c>
      <c r="B256" t="s">
        <v>1480</v>
      </c>
      <c r="C256" t="s">
        <v>1481</v>
      </c>
      <c r="D256" t="s">
        <v>1482</v>
      </c>
      <c r="E256" t="s">
        <v>1483</v>
      </c>
      <c r="F256" t="s">
        <v>1484</v>
      </c>
    </row>
    <row r="257" spans="1:6" x14ac:dyDescent="0.35">
      <c r="A257" t="s">
        <v>1485</v>
      </c>
      <c r="B257" t="s">
        <v>1486</v>
      </c>
      <c r="C257" t="s">
        <v>1487</v>
      </c>
      <c r="D257" t="s">
        <v>1488</v>
      </c>
      <c r="E257" t="s">
        <v>1489</v>
      </c>
      <c r="F257" t="s">
        <v>1490</v>
      </c>
    </row>
    <row r="258" spans="1:6" x14ac:dyDescent="0.35">
      <c r="A258" t="s">
        <v>1491</v>
      </c>
      <c r="B258" t="s">
        <v>1491</v>
      </c>
      <c r="C258" t="s">
        <v>1492</v>
      </c>
      <c r="D258" t="s">
        <v>1493</v>
      </c>
      <c r="E258" t="s">
        <v>1494</v>
      </c>
      <c r="F258" t="s">
        <v>1495</v>
      </c>
    </row>
    <row r="259" spans="1:6" x14ac:dyDescent="0.35">
      <c r="A259" t="s">
        <v>1496</v>
      </c>
      <c r="B259" t="s">
        <v>1496</v>
      </c>
      <c r="C259" t="s">
        <v>1497</v>
      </c>
      <c r="D259" t="s">
        <v>1498</v>
      </c>
      <c r="E259" t="s">
        <v>1499</v>
      </c>
      <c r="F259" t="s">
        <v>121</v>
      </c>
    </row>
    <row r="260" spans="1:6" x14ac:dyDescent="0.35">
      <c r="A260" t="s">
        <v>1500</v>
      </c>
      <c r="B260" t="s">
        <v>1501</v>
      </c>
      <c r="C260" t="s">
        <v>1502</v>
      </c>
      <c r="D260" t="s">
        <v>1503</v>
      </c>
      <c r="F260" t="s">
        <v>1504</v>
      </c>
    </row>
    <row r="261" spans="1:6" x14ac:dyDescent="0.35">
      <c r="A261" t="s">
        <v>1505</v>
      </c>
      <c r="B261" t="s">
        <v>1506</v>
      </c>
      <c r="C261" t="s">
        <v>1507</v>
      </c>
      <c r="D261" t="s">
        <v>1508</v>
      </c>
      <c r="E261" t="s">
        <v>1509</v>
      </c>
      <c r="F261" t="s">
        <v>1510</v>
      </c>
    </row>
    <row r="262" spans="1:6" x14ac:dyDescent="0.35">
      <c r="A262" t="s">
        <v>1511</v>
      </c>
      <c r="B262" t="s">
        <v>1511</v>
      </c>
      <c r="C262" t="s">
        <v>1512</v>
      </c>
      <c r="D262" t="s">
        <v>1513</v>
      </c>
      <c r="E262" t="s">
        <v>1514</v>
      </c>
      <c r="F262" t="s">
        <v>1515</v>
      </c>
    </row>
    <row r="263" spans="1:6" x14ac:dyDescent="0.35">
      <c r="A263" t="s">
        <v>1516</v>
      </c>
      <c r="B263" t="s">
        <v>1517</v>
      </c>
      <c r="C263" t="s">
        <v>1518</v>
      </c>
      <c r="D263" t="s">
        <v>1519</v>
      </c>
      <c r="E263" t="s">
        <v>1520</v>
      </c>
      <c r="F263" t="s">
        <v>1521</v>
      </c>
    </row>
    <row r="264" spans="1:6" x14ac:dyDescent="0.35">
      <c r="A264" t="s">
        <v>1522</v>
      </c>
      <c r="B264" t="s">
        <v>1522</v>
      </c>
      <c r="C264" t="s">
        <v>1523</v>
      </c>
      <c r="D264" t="s">
        <v>1524</v>
      </c>
      <c r="E264" t="s">
        <v>1525</v>
      </c>
      <c r="F264" t="s">
        <v>1526</v>
      </c>
    </row>
    <row r="265" spans="1:6" x14ac:dyDescent="0.35">
      <c r="A265" t="s">
        <v>1527</v>
      </c>
      <c r="B265" t="s">
        <v>1528</v>
      </c>
      <c r="C265" t="s">
        <v>1529</v>
      </c>
      <c r="D265" t="s">
        <v>1530</v>
      </c>
      <c r="E265" t="s">
        <v>1531</v>
      </c>
      <c r="F265" t="s">
        <v>1532</v>
      </c>
    </row>
    <row r="266" spans="1:6" x14ac:dyDescent="0.35">
      <c r="A266" t="s">
        <v>1533</v>
      </c>
      <c r="B266" t="s">
        <v>1534</v>
      </c>
      <c r="C266" t="s">
        <v>1535</v>
      </c>
      <c r="D266" t="s">
        <v>1536</v>
      </c>
      <c r="E266" t="s">
        <v>1537</v>
      </c>
      <c r="F266" t="s">
        <v>1538</v>
      </c>
    </row>
    <row r="267" spans="1:6" x14ac:dyDescent="0.35">
      <c r="A267" t="s">
        <v>1539</v>
      </c>
      <c r="B267" t="s">
        <v>1540</v>
      </c>
      <c r="C267" t="s">
        <v>1541</v>
      </c>
      <c r="D267" t="s">
        <v>1542</v>
      </c>
      <c r="E267" t="s">
        <v>1543</v>
      </c>
      <c r="F267" t="s">
        <v>1544</v>
      </c>
    </row>
    <row r="268" spans="1:6" x14ac:dyDescent="0.35">
      <c r="A268" t="s">
        <v>1545</v>
      </c>
      <c r="B268" t="s">
        <v>1546</v>
      </c>
      <c r="C268" t="s">
        <v>1547</v>
      </c>
      <c r="D268" t="s">
        <v>1548</v>
      </c>
      <c r="E268" t="s">
        <v>1549</v>
      </c>
      <c r="F268" t="s">
        <v>1550</v>
      </c>
    </row>
    <row r="269" spans="1:6" x14ac:dyDescent="0.35">
      <c r="A269" t="s">
        <v>1551</v>
      </c>
      <c r="B269" t="s">
        <v>1552</v>
      </c>
      <c r="C269" t="s">
        <v>1553</v>
      </c>
      <c r="D269" t="s">
        <v>1554</v>
      </c>
      <c r="E269" t="s">
        <v>1555</v>
      </c>
      <c r="F269" t="s">
        <v>1556</v>
      </c>
    </row>
    <row r="270" spans="1:6" x14ac:dyDescent="0.35">
      <c r="A270" t="s">
        <v>1557</v>
      </c>
      <c r="B270" t="s">
        <v>1558</v>
      </c>
      <c r="C270" t="s">
        <v>1559</v>
      </c>
      <c r="D270" t="s">
        <v>1560</v>
      </c>
      <c r="E270" t="s">
        <v>1561</v>
      </c>
      <c r="F270" t="s">
        <v>1562</v>
      </c>
    </row>
    <row r="271" spans="1:6" x14ac:dyDescent="0.35">
      <c r="A271" t="s">
        <v>1563</v>
      </c>
      <c r="B271" t="s">
        <v>1564</v>
      </c>
      <c r="C271" t="s">
        <v>1565</v>
      </c>
      <c r="D271" t="s">
        <v>1566</v>
      </c>
      <c r="E271" t="s">
        <v>1567</v>
      </c>
      <c r="F271" t="s">
        <v>1568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A641-8BE3-4872-BBCE-A5B1EA88B1B9}">
  <dimension ref="A1:H259"/>
  <sheetViews>
    <sheetView workbookViewId="0"/>
  </sheetViews>
  <sheetFormatPr defaultRowHeight="14.5" x14ac:dyDescent="0.35"/>
  <cols>
    <col min="1" max="1" width="35.26953125" bestFit="1" customWidth="1"/>
    <col min="2" max="2" width="9.1796875" bestFit="1" customWidth="1"/>
    <col min="3" max="3" width="12.36328125" bestFit="1" customWidth="1"/>
    <col min="4" max="4" width="15.6328125" bestFit="1" customWidth="1"/>
    <col min="5" max="5" width="14.36328125" bestFit="1" customWidth="1"/>
    <col min="6" max="6" width="18" bestFit="1" customWidth="1"/>
    <col min="7" max="7" width="21.54296875" bestFit="1" customWidth="1"/>
    <col min="8" max="8" width="15.1796875" bestFit="1" customWidth="1"/>
  </cols>
  <sheetData>
    <row r="1" spans="1:8" x14ac:dyDescent="0.35">
      <c r="A1" t="s">
        <v>0</v>
      </c>
      <c r="B1" t="s">
        <v>1</v>
      </c>
      <c r="C1" t="s">
        <v>2</v>
      </c>
      <c r="D1" t="s">
        <v>3</v>
      </c>
      <c r="E1" t="s">
        <v>4</v>
      </c>
      <c r="F1" t="s">
        <v>5</v>
      </c>
      <c r="G1" t="s">
        <v>1569</v>
      </c>
      <c r="H1" t="s">
        <v>1570</v>
      </c>
    </row>
    <row r="2" spans="1:8" x14ac:dyDescent="0.35">
      <c r="A2" s="1" t="s">
        <v>6</v>
      </c>
      <c r="B2" s="1" t="s">
        <v>7</v>
      </c>
      <c r="C2">
        <v>80714.75</v>
      </c>
      <c r="D2">
        <v>1615811626193</v>
      </c>
      <c r="E2">
        <v>45652836784</v>
      </c>
      <c r="F2" s="1" t="s">
        <v>11</v>
      </c>
      <c r="G2">
        <v>20020000</v>
      </c>
      <c r="H2" t="s">
        <v>1571</v>
      </c>
    </row>
    <row r="3" spans="1:8" x14ac:dyDescent="0.35">
      <c r="A3" s="1" t="s">
        <v>12</v>
      </c>
      <c r="B3" s="1" t="s">
        <v>13</v>
      </c>
      <c r="C3">
        <v>2372.21</v>
      </c>
      <c r="D3">
        <v>286127949730</v>
      </c>
      <c r="E3">
        <v>19566352114</v>
      </c>
      <c r="F3" s="1" t="s">
        <v>17</v>
      </c>
      <c r="G3">
        <v>120680000</v>
      </c>
      <c r="H3" t="s">
        <v>1571</v>
      </c>
    </row>
    <row r="4" spans="1:8" x14ac:dyDescent="0.35">
      <c r="A4" s="1" t="s">
        <v>18</v>
      </c>
      <c r="B4" s="1" t="s">
        <v>19</v>
      </c>
      <c r="C4">
        <v>0.99980000000000002</v>
      </c>
      <c r="D4">
        <v>189538021949</v>
      </c>
      <c r="E4">
        <v>133380001774</v>
      </c>
      <c r="F4" s="1" t="s">
        <v>23</v>
      </c>
      <c r="G4">
        <v>189570000000</v>
      </c>
      <c r="H4" t="s">
        <v>1572</v>
      </c>
    </row>
    <row r="5" spans="1:8" x14ac:dyDescent="0.35">
      <c r="A5" s="1" t="s">
        <v>24</v>
      </c>
      <c r="B5" s="1" t="s">
        <v>24</v>
      </c>
      <c r="C5">
        <v>1.4</v>
      </c>
      <c r="D5">
        <v>86723295883</v>
      </c>
      <c r="E5">
        <v>2057869941</v>
      </c>
      <c r="F5" s="1" t="s">
        <v>28</v>
      </c>
      <c r="G5">
        <v>61790000000</v>
      </c>
      <c r="H5" t="s">
        <v>1572</v>
      </c>
    </row>
    <row r="6" spans="1:8" x14ac:dyDescent="0.35">
      <c r="A6" s="1" t="s">
        <v>29</v>
      </c>
      <c r="B6" s="1" t="s">
        <v>29</v>
      </c>
      <c r="C6">
        <v>627.08000000000004</v>
      </c>
      <c r="D6">
        <v>84521570526</v>
      </c>
      <c r="E6">
        <v>1748367843</v>
      </c>
      <c r="F6" s="1" t="s">
        <v>33</v>
      </c>
      <c r="G6">
        <v>134780000</v>
      </c>
      <c r="H6" t="s">
        <v>1571</v>
      </c>
    </row>
    <row r="7" spans="1:8" x14ac:dyDescent="0.35">
      <c r="A7" s="1" t="s">
        <v>34</v>
      </c>
      <c r="B7" s="1" t="s">
        <v>34</v>
      </c>
      <c r="C7">
        <v>0.99980000000000002</v>
      </c>
      <c r="D7">
        <v>77752991827</v>
      </c>
      <c r="E7">
        <v>57775900032</v>
      </c>
      <c r="F7" s="1" t="s">
        <v>37</v>
      </c>
      <c r="G7">
        <v>77760000000</v>
      </c>
      <c r="H7" t="s">
        <v>1572</v>
      </c>
    </row>
    <row r="8" spans="1:8" x14ac:dyDescent="0.35">
      <c r="A8" s="1" t="s">
        <v>38</v>
      </c>
      <c r="B8" s="1" t="s">
        <v>39</v>
      </c>
      <c r="C8">
        <v>84.64</v>
      </c>
      <c r="D8">
        <v>48782500244</v>
      </c>
      <c r="E8">
        <v>4370042009</v>
      </c>
      <c r="F8" s="1" t="s">
        <v>43</v>
      </c>
      <c r="G8">
        <v>576340000</v>
      </c>
      <c r="H8" t="s">
        <v>1571</v>
      </c>
    </row>
    <row r="9" spans="1:8" x14ac:dyDescent="0.35">
      <c r="A9" s="1" t="s">
        <v>44</v>
      </c>
      <c r="B9" s="1" t="s">
        <v>45</v>
      </c>
      <c r="C9">
        <v>0.34060000000000001</v>
      </c>
      <c r="D9">
        <v>32292490195</v>
      </c>
      <c r="E9">
        <v>810662274</v>
      </c>
      <c r="F9" s="1" t="s">
        <v>49</v>
      </c>
      <c r="G9">
        <v>94790000000</v>
      </c>
      <c r="H9" t="s">
        <v>1572</v>
      </c>
    </row>
    <row r="10" spans="1:8" x14ac:dyDescent="0.35">
      <c r="A10" s="1" t="s">
        <v>50</v>
      </c>
      <c r="B10" s="1" t="s">
        <v>51</v>
      </c>
      <c r="C10">
        <v>0.1111</v>
      </c>
      <c r="D10">
        <v>18881775480</v>
      </c>
      <c r="E10">
        <v>1658004162</v>
      </c>
      <c r="F10" s="1" t="s">
        <v>55</v>
      </c>
      <c r="G10">
        <v>169820000000</v>
      </c>
      <c r="H10" t="s">
        <v>1572</v>
      </c>
    </row>
    <row r="11" spans="1:8" x14ac:dyDescent="0.35">
      <c r="A11" s="1" t="s">
        <v>56</v>
      </c>
      <c r="B11" s="1" t="s">
        <v>57</v>
      </c>
      <c r="C11">
        <v>43</v>
      </c>
      <c r="D11">
        <v>10954803211</v>
      </c>
      <c r="E11">
        <v>314423799</v>
      </c>
      <c r="F11" s="1" t="s">
        <v>61</v>
      </c>
      <c r="G11">
        <v>254700000</v>
      </c>
      <c r="H11" t="s">
        <v>1572</v>
      </c>
    </row>
    <row r="12" spans="1:8" x14ac:dyDescent="0.35">
      <c r="A12" s="1" t="s">
        <v>62</v>
      </c>
      <c r="B12" s="1" t="s">
        <v>63</v>
      </c>
      <c r="C12">
        <v>10.32</v>
      </c>
      <c r="D12">
        <v>9508010388</v>
      </c>
      <c r="E12">
        <v>465925</v>
      </c>
      <c r="F12" s="1" t="s">
        <v>67</v>
      </c>
      <c r="G12">
        <v>920690000</v>
      </c>
      <c r="H12" t="s">
        <v>1572</v>
      </c>
    </row>
    <row r="13" spans="1:8" x14ac:dyDescent="0.35">
      <c r="A13" s="1" t="s">
        <v>68</v>
      </c>
      <c r="B13" s="1" t="s">
        <v>69</v>
      </c>
      <c r="C13">
        <v>0.25840000000000002</v>
      </c>
      <c r="D13">
        <v>9354644073</v>
      </c>
      <c r="E13">
        <v>510150855</v>
      </c>
      <c r="F13" s="1" t="s">
        <v>73</v>
      </c>
      <c r="G13">
        <v>36190000000</v>
      </c>
      <c r="H13" t="s">
        <v>1572</v>
      </c>
    </row>
    <row r="14" spans="1:8" x14ac:dyDescent="0.35">
      <c r="A14" s="1" t="s">
        <v>74</v>
      </c>
      <c r="B14" s="1" t="s">
        <v>75</v>
      </c>
      <c r="C14">
        <v>454.95</v>
      </c>
      <c r="D14">
        <v>9112882354</v>
      </c>
      <c r="E14">
        <v>292979455</v>
      </c>
      <c r="F14" s="1" t="s">
        <v>79</v>
      </c>
      <c r="G14">
        <v>20030000</v>
      </c>
      <c r="H14" t="s">
        <v>1571</v>
      </c>
    </row>
    <row r="15" spans="1:8" x14ac:dyDescent="0.35">
      <c r="A15" s="1" t="s">
        <v>80</v>
      </c>
      <c r="B15" s="1" t="s">
        <v>81</v>
      </c>
      <c r="C15">
        <v>405.43</v>
      </c>
      <c r="D15">
        <v>7478953329</v>
      </c>
      <c r="E15">
        <v>138602766</v>
      </c>
      <c r="F15" s="1" t="s">
        <v>85</v>
      </c>
      <c r="G15">
        <v>18440000</v>
      </c>
      <c r="H15" t="s">
        <v>1571</v>
      </c>
    </row>
    <row r="16" spans="1:8" x14ac:dyDescent="0.35">
      <c r="A16" s="1" t="s">
        <v>86</v>
      </c>
      <c r="B16" s="1" t="s">
        <v>87</v>
      </c>
      <c r="C16">
        <v>0.40300000000000002</v>
      </c>
      <c r="D16">
        <v>375235836</v>
      </c>
      <c r="E16">
        <v>8194317</v>
      </c>
      <c r="F16" s="1" t="s">
        <v>91</v>
      </c>
      <c r="G16">
        <v>930990000</v>
      </c>
      <c r="H16" t="s">
        <v>1572</v>
      </c>
    </row>
    <row r="17" spans="1:8" x14ac:dyDescent="0.35">
      <c r="A17" s="1" t="s">
        <v>92</v>
      </c>
      <c r="B17" s="1" t="s">
        <v>93</v>
      </c>
      <c r="C17">
        <v>1.9199999999999998E-2</v>
      </c>
      <c r="D17">
        <v>369241408</v>
      </c>
      <c r="E17">
        <v>67910537</v>
      </c>
      <c r="F17" s="1" t="s">
        <v>97</v>
      </c>
      <c r="G17">
        <v>19210000000</v>
      </c>
      <c r="H17" t="s">
        <v>1572</v>
      </c>
    </row>
    <row r="18" spans="1:8" x14ac:dyDescent="0.35">
      <c r="A18" s="1" t="s">
        <v>98</v>
      </c>
      <c r="B18" s="1" t="s">
        <v>99</v>
      </c>
      <c r="C18">
        <v>3.04E-2</v>
      </c>
      <c r="D18">
        <v>359533550</v>
      </c>
      <c r="E18">
        <v>58166372</v>
      </c>
      <c r="F18" s="1" t="s">
        <v>103</v>
      </c>
      <c r="G18">
        <v>11820000000</v>
      </c>
      <c r="H18" t="s">
        <v>1572</v>
      </c>
    </row>
    <row r="19" spans="1:8" x14ac:dyDescent="0.35">
      <c r="A19" s="1" t="s">
        <v>104</v>
      </c>
      <c r="B19" s="1" t="s">
        <v>105</v>
      </c>
      <c r="C19">
        <v>0.2397</v>
      </c>
      <c r="D19">
        <v>359475646</v>
      </c>
      <c r="E19">
        <v>51921229</v>
      </c>
      <c r="F19" s="1" t="s">
        <v>109</v>
      </c>
      <c r="G19">
        <v>1490000000</v>
      </c>
      <c r="H19" t="s">
        <v>1572</v>
      </c>
    </row>
    <row r="20" spans="1:8" x14ac:dyDescent="0.35">
      <c r="A20" s="1" t="s">
        <v>110</v>
      </c>
      <c r="B20" s="1" t="s">
        <v>111</v>
      </c>
      <c r="C20">
        <v>0.42220000000000002</v>
      </c>
      <c r="D20">
        <v>352989364</v>
      </c>
      <c r="E20">
        <v>28432421</v>
      </c>
      <c r="F20" s="1" t="s">
        <v>115</v>
      </c>
      <c r="G20">
        <v>835960000</v>
      </c>
      <c r="H20" t="s">
        <v>1572</v>
      </c>
    </row>
    <row r="21" spans="1:8" x14ac:dyDescent="0.35">
      <c r="A21" s="1" t="s">
        <v>116</v>
      </c>
      <c r="B21" s="1" t="s">
        <v>117</v>
      </c>
      <c r="C21">
        <v>0.3493</v>
      </c>
      <c r="D21">
        <v>349373651</v>
      </c>
      <c r="E21">
        <v>95749672</v>
      </c>
      <c r="F21" s="1" t="s">
        <v>121</v>
      </c>
      <c r="G21">
        <v>1000000000</v>
      </c>
      <c r="H21" t="s">
        <v>1572</v>
      </c>
    </row>
    <row r="22" spans="1:8" x14ac:dyDescent="0.35">
      <c r="A22" s="1" t="s">
        <v>122</v>
      </c>
      <c r="B22" s="1" t="s">
        <v>123</v>
      </c>
      <c r="C22">
        <v>132.21</v>
      </c>
      <c r="D22">
        <v>348986468</v>
      </c>
      <c r="E22">
        <v>4188648</v>
      </c>
      <c r="F22" s="1" t="s">
        <v>127</v>
      </c>
      <c r="G22">
        <v>2630000</v>
      </c>
      <c r="H22" t="s">
        <v>1571</v>
      </c>
    </row>
    <row r="23" spans="1:8" x14ac:dyDescent="0.35">
      <c r="A23" s="1" t="s">
        <v>128</v>
      </c>
      <c r="B23" s="1" t="s">
        <v>129</v>
      </c>
      <c r="C23">
        <v>0.17080000000000001</v>
      </c>
      <c r="D23">
        <v>341752440</v>
      </c>
      <c r="E23">
        <v>20322314</v>
      </c>
      <c r="F23" s="1" t="s">
        <v>133</v>
      </c>
      <c r="G23">
        <v>2000000000</v>
      </c>
      <c r="H23" t="s">
        <v>1572</v>
      </c>
    </row>
    <row r="24" spans="1:8" x14ac:dyDescent="0.35">
      <c r="A24" s="1" t="s">
        <v>134</v>
      </c>
      <c r="B24" s="1" t="s">
        <v>135</v>
      </c>
      <c r="C24">
        <v>3.3999999999999998E-3</v>
      </c>
      <c r="D24">
        <v>341449454</v>
      </c>
      <c r="E24">
        <v>6843199</v>
      </c>
      <c r="F24" s="1" t="s">
        <v>139</v>
      </c>
      <c r="G24">
        <v>99990000000</v>
      </c>
      <c r="H24" t="s">
        <v>1572</v>
      </c>
    </row>
    <row r="25" spans="1:8" x14ac:dyDescent="0.35">
      <c r="A25" s="1" t="s">
        <v>140</v>
      </c>
      <c r="B25" s="1" t="s">
        <v>141</v>
      </c>
      <c r="C25">
        <v>19.45</v>
      </c>
      <c r="D25">
        <v>338637227</v>
      </c>
      <c r="E25">
        <v>2983201</v>
      </c>
      <c r="F25" s="1" t="s">
        <v>145</v>
      </c>
      <c r="G25">
        <v>17400000</v>
      </c>
      <c r="H25" t="s">
        <v>1572</v>
      </c>
    </row>
    <row r="26" spans="1:8" x14ac:dyDescent="0.35">
      <c r="A26" s="1" t="s">
        <v>146</v>
      </c>
      <c r="B26" s="1" t="s">
        <v>147</v>
      </c>
      <c r="C26">
        <v>0.37</v>
      </c>
      <c r="D26">
        <v>337963581</v>
      </c>
      <c r="E26">
        <v>48169940</v>
      </c>
      <c r="F26" s="1" t="s">
        <v>151</v>
      </c>
      <c r="G26">
        <v>913240000</v>
      </c>
      <c r="H26" t="s">
        <v>1572</v>
      </c>
    </row>
    <row r="27" spans="1:8" x14ac:dyDescent="0.35">
      <c r="A27" s="1" t="s">
        <v>152</v>
      </c>
      <c r="B27" s="1" t="s">
        <v>153</v>
      </c>
      <c r="C27">
        <v>16.32</v>
      </c>
      <c r="D27">
        <v>326867282</v>
      </c>
      <c r="E27">
        <v>15411866</v>
      </c>
      <c r="F27" s="1" t="s">
        <v>11</v>
      </c>
      <c r="G27">
        <v>20020000</v>
      </c>
      <c r="H27" t="s">
        <v>1572</v>
      </c>
    </row>
    <row r="28" spans="1:8" x14ac:dyDescent="0.35">
      <c r="A28" s="1" t="s">
        <v>157</v>
      </c>
      <c r="B28" s="1" t="s">
        <v>158</v>
      </c>
      <c r="C28">
        <v>6.1699999999999998E-2</v>
      </c>
      <c r="D28">
        <v>321115259</v>
      </c>
      <c r="E28">
        <v>23759002</v>
      </c>
      <c r="F28" s="1" t="s">
        <v>162</v>
      </c>
      <c r="G28">
        <v>5200000000</v>
      </c>
      <c r="H28" t="s">
        <v>1572</v>
      </c>
    </row>
    <row r="29" spans="1:8" x14ac:dyDescent="0.35">
      <c r="A29" s="1" t="s">
        <v>163</v>
      </c>
      <c r="B29" s="1" t="s">
        <v>164</v>
      </c>
      <c r="C29">
        <v>6.3200000000000006E-2</v>
      </c>
      <c r="D29">
        <v>318597644</v>
      </c>
      <c r="E29">
        <v>8137351</v>
      </c>
      <c r="F29" s="1" t="s">
        <v>168</v>
      </c>
      <c r="G29">
        <v>987030000000000</v>
      </c>
      <c r="H29" t="s">
        <v>1572</v>
      </c>
    </row>
    <row r="30" spans="1:8" x14ac:dyDescent="0.35">
      <c r="A30" s="1" t="s">
        <v>169</v>
      </c>
      <c r="B30" s="1" t="s">
        <v>170</v>
      </c>
      <c r="C30">
        <v>0.37480000000000002</v>
      </c>
      <c r="D30">
        <v>318245786</v>
      </c>
      <c r="E30">
        <v>52395044</v>
      </c>
      <c r="F30" s="1" t="s">
        <v>174</v>
      </c>
      <c r="G30">
        <v>849050000</v>
      </c>
      <c r="H30" t="s">
        <v>1572</v>
      </c>
    </row>
    <row r="31" spans="1:8" x14ac:dyDescent="0.35">
      <c r="A31" s="1" t="s">
        <v>175</v>
      </c>
      <c r="B31" s="1" t="s">
        <v>176</v>
      </c>
      <c r="C31">
        <v>7.4999999999999997E-3</v>
      </c>
      <c r="D31">
        <v>3564941435</v>
      </c>
      <c r="E31">
        <v>19844492</v>
      </c>
      <c r="F31" s="1" t="s">
        <v>180</v>
      </c>
      <c r="G31">
        <v>478400000000</v>
      </c>
      <c r="H31" t="s">
        <v>1572</v>
      </c>
    </row>
    <row r="32" spans="1:8" x14ac:dyDescent="0.35">
      <c r="A32" s="1" t="s">
        <v>181</v>
      </c>
      <c r="B32" s="1" t="s">
        <v>181</v>
      </c>
      <c r="C32">
        <v>5.1900000000000002E-2</v>
      </c>
      <c r="D32">
        <v>1745352745</v>
      </c>
      <c r="E32">
        <v>6719887</v>
      </c>
      <c r="F32" s="1" t="s">
        <v>185</v>
      </c>
      <c r="G32">
        <v>905700000000000</v>
      </c>
      <c r="H32" t="s">
        <v>1572</v>
      </c>
    </row>
    <row r="33" spans="1:8" x14ac:dyDescent="0.35">
      <c r="A33" s="1" t="s">
        <v>186</v>
      </c>
      <c r="B33" s="1" t="s">
        <v>187</v>
      </c>
      <c r="C33">
        <v>0.99790000000000001</v>
      </c>
      <c r="D33">
        <v>1620920598</v>
      </c>
      <c r="E33">
        <v>610355</v>
      </c>
      <c r="F33" s="1" t="s">
        <v>191</v>
      </c>
      <c r="G33">
        <v>1620000000</v>
      </c>
      <c r="H33" t="s">
        <v>1572</v>
      </c>
    </row>
    <row r="34" spans="1:8" x14ac:dyDescent="0.35">
      <c r="A34" s="1" t="s">
        <v>192</v>
      </c>
      <c r="B34" s="1" t="s">
        <v>193</v>
      </c>
      <c r="C34">
        <v>1.1200000000000001</v>
      </c>
      <c r="D34">
        <v>1320164017</v>
      </c>
      <c r="E34">
        <v>110637</v>
      </c>
      <c r="F34" s="1" t="s">
        <v>197</v>
      </c>
      <c r="G34">
        <v>1170000000</v>
      </c>
      <c r="H34" t="s">
        <v>1572</v>
      </c>
    </row>
    <row r="35" spans="1:8" x14ac:dyDescent="0.35">
      <c r="A35" s="1" t="s">
        <v>198</v>
      </c>
      <c r="B35" s="1" t="s">
        <v>199</v>
      </c>
      <c r="C35">
        <v>0.21959999999999999</v>
      </c>
      <c r="D35">
        <v>979489925</v>
      </c>
      <c r="E35">
        <v>2008835</v>
      </c>
      <c r="F35" s="1" t="s">
        <v>203</v>
      </c>
      <c r="G35">
        <v>4450000000</v>
      </c>
      <c r="H35" t="s">
        <v>1572</v>
      </c>
    </row>
    <row r="36" spans="1:8" x14ac:dyDescent="0.35">
      <c r="A36" s="1" t="s">
        <v>204</v>
      </c>
      <c r="B36" s="1" t="s">
        <v>205</v>
      </c>
      <c r="C36">
        <v>3.91</v>
      </c>
      <c r="D36">
        <v>927006953</v>
      </c>
      <c r="E36">
        <v>5715095</v>
      </c>
      <c r="F36" s="1" t="s">
        <v>209</v>
      </c>
      <c r="G36">
        <v>236680000</v>
      </c>
      <c r="H36" t="s">
        <v>1572</v>
      </c>
    </row>
    <row r="37" spans="1:8" x14ac:dyDescent="0.35">
      <c r="A37" s="1" t="s">
        <v>210</v>
      </c>
      <c r="B37" s="1" t="s">
        <v>211</v>
      </c>
      <c r="C37">
        <v>7.9899999999999999E-2</v>
      </c>
      <c r="D37">
        <v>618624430</v>
      </c>
      <c r="E37">
        <v>11420471</v>
      </c>
      <c r="F37" s="1" t="s">
        <v>215</v>
      </c>
      <c r="G37">
        <v>7730000000</v>
      </c>
      <c r="H37" t="s">
        <v>1572</v>
      </c>
    </row>
    <row r="38" spans="1:8" x14ac:dyDescent="0.35">
      <c r="A38" s="1" t="s">
        <v>216</v>
      </c>
      <c r="B38" s="1" t="s">
        <v>216</v>
      </c>
      <c r="C38">
        <v>0.99960000000000004</v>
      </c>
      <c r="D38">
        <v>583813175</v>
      </c>
      <c r="E38">
        <v>901520</v>
      </c>
      <c r="F38" s="1" t="s">
        <v>220</v>
      </c>
      <c r="G38">
        <v>584000000</v>
      </c>
      <c r="H38" t="s">
        <v>1572</v>
      </c>
    </row>
    <row r="39" spans="1:8" x14ac:dyDescent="0.35">
      <c r="A39" s="1" t="s">
        <v>221</v>
      </c>
      <c r="B39" s="1" t="s">
        <v>221</v>
      </c>
      <c r="C39">
        <v>2.4500000000000002</v>
      </c>
      <c r="D39">
        <v>566710139</v>
      </c>
      <c r="E39">
        <v>133102984</v>
      </c>
      <c r="F39" s="1" t="s">
        <v>225</v>
      </c>
      <c r="G39">
        <v>230400000</v>
      </c>
      <c r="H39" t="s">
        <v>1572</v>
      </c>
    </row>
    <row r="40" spans="1:8" x14ac:dyDescent="0.35">
      <c r="A40" s="1" t="s">
        <v>226</v>
      </c>
      <c r="B40" s="1" t="s">
        <v>227</v>
      </c>
      <c r="C40">
        <v>0.99819999999999998</v>
      </c>
      <c r="D40">
        <v>566083831</v>
      </c>
      <c r="E40">
        <v>26756</v>
      </c>
      <c r="F40" s="1" t="s">
        <v>231</v>
      </c>
      <c r="G40">
        <v>567050000</v>
      </c>
      <c r="H40" t="s">
        <v>1572</v>
      </c>
    </row>
    <row r="41" spans="1:8" x14ac:dyDescent="0.35">
      <c r="A41" s="1" t="s">
        <v>232</v>
      </c>
      <c r="B41" s="1" t="s">
        <v>233</v>
      </c>
      <c r="C41">
        <v>0.99980000000000002</v>
      </c>
      <c r="D41">
        <v>501283934</v>
      </c>
      <c r="E41">
        <v>6351</v>
      </c>
      <c r="F41" s="1" t="s">
        <v>236</v>
      </c>
      <c r="G41">
        <v>501350000</v>
      </c>
      <c r="H41" t="s">
        <v>1572</v>
      </c>
    </row>
    <row r="42" spans="1:8" x14ac:dyDescent="0.35">
      <c r="A42" s="1" t="s">
        <v>237</v>
      </c>
      <c r="B42" s="1" t="s">
        <v>238</v>
      </c>
      <c r="C42">
        <v>0.99950000000000006</v>
      </c>
      <c r="D42">
        <v>359540661</v>
      </c>
      <c r="E42">
        <v>371986</v>
      </c>
      <c r="F42" s="1" t="s">
        <v>242</v>
      </c>
      <c r="G42">
        <v>359690000</v>
      </c>
      <c r="H42" t="s">
        <v>1572</v>
      </c>
    </row>
    <row r="43" spans="1:8" x14ac:dyDescent="0.35">
      <c r="A43" s="1" t="s">
        <v>243</v>
      </c>
      <c r="B43" s="1" t="s">
        <v>244</v>
      </c>
      <c r="C43">
        <v>8.0000000000000004E-4</v>
      </c>
      <c r="D43">
        <v>333884830</v>
      </c>
      <c r="E43">
        <v>315121</v>
      </c>
      <c r="F43" s="1" t="s">
        <v>248</v>
      </c>
      <c r="G43">
        <v>414400000000</v>
      </c>
      <c r="H43" t="s">
        <v>1572</v>
      </c>
    </row>
    <row r="44" spans="1:8" x14ac:dyDescent="0.35">
      <c r="A44" s="1" t="s">
        <v>249</v>
      </c>
      <c r="B44" s="1" t="s">
        <v>249</v>
      </c>
      <c r="C44">
        <v>0.99980000000000002</v>
      </c>
      <c r="D44">
        <v>315960326</v>
      </c>
      <c r="E44">
        <v>2950958</v>
      </c>
      <c r="F44" s="1" t="s">
        <v>252</v>
      </c>
      <c r="G44">
        <v>316000000</v>
      </c>
      <c r="H44" t="s">
        <v>1572</v>
      </c>
    </row>
    <row r="45" spans="1:8" x14ac:dyDescent="0.35">
      <c r="A45" s="1" t="s">
        <v>253</v>
      </c>
      <c r="B45" s="1" t="s">
        <v>254</v>
      </c>
      <c r="C45">
        <v>0.1255</v>
      </c>
      <c r="D45">
        <v>313782073</v>
      </c>
      <c r="E45">
        <v>44290617</v>
      </c>
      <c r="F45" s="1" t="s">
        <v>258</v>
      </c>
      <c r="G45">
        <v>2500000000</v>
      </c>
      <c r="H45" t="s">
        <v>1572</v>
      </c>
    </row>
    <row r="46" spans="1:8" x14ac:dyDescent="0.35">
      <c r="A46" s="1" t="s">
        <v>259</v>
      </c>
      <c r="B46" s="1" t="s">
        <v>260</v>
      </c>
      <c r="C46">
        <v>7.9000000000000001E-2</v>
      </c>
      <c r="D46">
        <v>78992728</v>
      </c>
      <c r="E46">
        <v>104056</v>
      </c>
      <c r="F46" s="1" t="s">
        <v>264</v>
      </c>
      <c r="G46">
        <v>999450000</v>
      </c>
      <c r="H46" t="s">
        <v>1572</v>
      </c>
    </row>
    <row r="47" spans="1:8" x14ac:dyDescent="0.35">
      <c r="A47" s="1" t="s">
        <v>265</v>
      </c>
      <c r="B47" s="1" t="s">
        <v>266</v>
      </c>
      <c r="C47">
        <v>1.0200000000000001E-2</v>
      </c>
      <c r="D47">
        <v>77785248</v>
      </c>
      <c r="E47">
        <v>3624063</v>
      </c>
      <c r="F47" s="1" t="s">
        <v>270</v>
      </c>
      <c r="G47">
        <v>7580000000</v>
      </c>
      <c r="H47" t="s">
        <v>1572</v>
      </c>
    </row>
    <row r="48" spans="1:8" x14ac:dyDescent="0.35">
      <c r="A48" s="1" t="s">
        <v>271</v>
      </c>
      <c r="B48" s="1" t="s">
        <v>272</v>
      </c>
      <c r="C48">
        <v>0.32400000000000001</v>
      </c>
      <c r="D48">
        <v>77458357</v>
      </c>
      <c r="E48">
        <v>4222586</v>
      </c>
      <c r="F48" s="1" t="s">
        <v>276</v>
      </c>
      <c r="G48">
        <v>239000000</v>
      </c>
      <c r="H48" t="s">
        <v>1572</v>
      </c>
    </row>
    <row r="49" spans="1:8" x14ac:dyDescent="0.35">
      <c r="A49" s="1" t="s">
        <v>277</v>
      </c>
      <c r="B49" s="1" t="s">
        <v>278</v>
      </c>
      <c r="C49">
        <v>2.0000000000000001E-4</v>
      </c>
      <c r="D49">
        <v>76871340</v>
      </c>
      <c r="E49">
        <v>9361376</v>
      </c>
      <c r="F49" s="1" t="s">
        <v>282</v>
      </c>
      <c r="G49">
        <v>420660000000</v>
      </c>
      <c r="H49" t="s">
        <v>1572</v>
      </c>
    </row>
    <row r="50" spans="1:8" x14ac:dyDescent="0.35">
      <c r="A50" s="1" t="s">
        <v>283</v>
      </c>
      <c r="B50" s="1" t="s">
        <v>283</v>
      </c>
      <c r="C50">
        <v>7.35</v>
      </c>
      <c r="D50">
        <v>76512234</v>
      </c>
      <c r="E50">
        <v>5776745</v>
      </c>
      <c r="F50" s="1" t="s">
        <v>287</v>
      </c>
      <c r="G50">
        <v>10390000</v>
      </c>
      <c r="H50" t="s">
        <v>1572</v>
      </c>
    </row>
    <row r="51" spans="1:8" x14ac:dyDescent="0.35">
      <c r="A51" s="1" t="s">
        <v>292</v>
      </c>
      <c r="B51" s="1" t="s">
        <v>293</v>
      </c>
      <c r="C51">
        <v>2.7199999999999998E-2</v>
      </c>
      <c r="D51">
        <v>76087898</v>
      </c>
      <c r="E51">
        <v>20449566</v>
      </c>
      <c r="F51" s="1" t="s">
        <v>297</v>
      </c>
      <c r="G51">
        <v>2790000000</v>
      </c>
      <c r="H51" t="s">
        <v>1572</v>
      </c>
    </row>
    <row r="52" spans="1:8" x14ac:dyDescent="0.35">
      <c r="A52" s="1" t="s">
        <v>298</v>
      </c>
      <c r="B52" s="1" t="s">
        <v>299</v>
      </c>
      <c r="C52">
        <v>8.9999999999999998E-4</v>
      </c>
      <c r="D52">
        <v>75794640</v>
      </c>
      <c r="E52">
        <v>6708441</v>
      </c>
      <c r="F52" s="1" t="s">
        <v>303</v>
      </c>
      <c r="G52">
        <v>86780000000</v>
      </c>
      <c r="H52" t="s">
        <v>1572</v>
      </c>
    </row>
    <row r="53" spans="1:8" x14ac:dyDescent="0.35">
      <c r="A53" s="1" t="s">
        <v>304</v>
      </c>
      <c r="B53" s="1" t="s">
        <v>305</v>
      </c>
      <c r="C53">
        <v>7.6E-3</v>
      </c>
      <c r="D53">
        <v>75524361</v>
      </c>
      <c r="E53">
        <v>14560519</v>
      </c>
      <c r="F53" s="1" t="s">
        <v>309</v>
      </c>
      <c r="G53">
        <v>9990000000</v>
      </c>
      <c r="H53" t="s">
        <v>1572</v>
      </c>
    </row>
    <row r="54" spans="1:8" x14ac:dyDescent="0.35">
      <c r="A54" s="1" t="s">
        <v>310</v>
      </c>
      <c r="B54" s="1" t="s">
        <v>311</v>
      </c>
      <c r="C54">
        <v>8.6999999999999994E-3</v>
      </c>
      <c r="D54">
        <v>75463656</v>
      </c>
      <c r="E54">
        <v>3309716</v>
      </c>
      <c r="F54" s="1" t="s">
        <v>315</v>
      </c>
      <c r="G54">
        <v>8680000000</v>
      </c>
      <c r="H54" t="s">
        <v>1572</v>
      </c>
    </row>
    <row r="55" spans="1:8" x14ac:dyDescent="0.35">
      <c r="A55" s="1" t="s">
        <v>316</v>
      </c>
      <c r="B55" s="1" t="s">
        <v>317</v>
      </c>
      <c r="C55">
        <v>9.7299999999999998E-2</v>
      </c>
      <c r="D55">
        <v>75180443</v>
      </c>
      <c r="E55">
        <v>4171835</v>
      </c>
      <c r="F55" s="1" t="s">
        <v>321</v>
      </c>
      <c r="G55">
        <v>772400000</v>
      </c>
      <c r="H55" t="s">
        <v>1572</v>
      </c>
    </row>
    <row r="56" spans="1:8" x14ac:dyDescent="0.35">
      <c r="A56" s="1" t="s">
        <v>322</v>
      </c>
      <c r="B56" s="1" t="s">
        <v>323</v>
      </c>
      <c r="C56">
        <v>4.0000000000000002E-4</v>
      </c>
      <c r="D56">
        <v>74813247</v>
      </c>
      <c r="E56">
        <v>5179120</v>
      </c>
      <c r="F56" s="1" t="s">
        <v>327</v>
      </c>
      <c r="G56">
        <v>175850000000</v>
      </c>
      <c r="H56" t="s">
        <v>1572</v>
      </c>
    </row>
    <row r="57" spans="1:8" x14ac:dyDescent="0.35">
      <c r="A57" s="1" t="s">
        <v>328</v>
      </c>
      <c r="B57" s="1" t="s">
        <v>329</v>
      </c>
      <c r="C57">
        <v>1.5E-3</v>
      </c>
      <c r="D57">
        <v>74465832</v>
      </c>
      <c r="E57">
        <v>3843359</v>
      </c>
      <c r="F57" s="1" t="s">
        <v>333</v>
      </c>
      <c r="G57">
        <v>48700000000</v>
      </c>
      <c r="H57" t="s">
        <v>1572</v>
      </c>
    </row>
    <row r="58" spans="1:8" x14ac:dyDescent="0.35">
      <c r="A58" s="1" t="s">
        <v>334</v>
      </c>
      <c r="B58" s="1" t="s">
        <v>335</v>
      </c>
      <c r="C58">
        <v>1.9300000000000001E-2</v>
      </c>
      <c r="D58">
        <v>73660773</v>
      </c>
      <c r="E58">
        <v>12584867</v>
      </c>
      <c r="F58" s="1" t="s">
        <v>339</v>
      </c>
      <c r="G58">
        <v>3810000000</v>
      </c>
      <c r="H58" t="s">
        <v>1572</v>
      </c>
    </row>
    <row r="59" spans="1:8" x14ac:dyDescent="0.35">
      <c r="A59" s="1" t="s">
        <v>340</v>
      </c>
      <c r="B59" s="1" t="s">
        <v>341</v>
      </c>
      <c r="C59">
        <v>7.3400000000000007E-2</v>
      </c>
      <c r="D59">
        <v>73396694</v>
      </c>
      <c r="E59">
        <v>9247752</v>
      </c>
      <c r="F59" s="1" t="s">
        <v>345</v>
      </c>
      <c r="G59">
        <v>999960000</v>
      </c>
      <c r="H59" t="s">
        <v>1572</v>
      </c>
    </row>
    <row r="60" spans="1:8" x14ac:dyDescent="0.35">
      <c r="A60" s="1" t="s">
        <v>346</v>
      </c>
      <c r="B60" s="1" t="s">
        <v>347</v>
      </c>
      <c r="C60">
        <v>5.0000000000000001E-3</v>
      </c>
      <c r="D60">
        <v>49902972</v>
      </c>
      <c r="E60">
        <v>10783966</v>
      </c>
      <c r="F60" s="1" t="s">
        <v>351</v>
      </c>
      <c r="G60">
        <v>10000000000</v>
      </c>
      <c r="H60" t="s">
        <v>1572</v>
      </c>
    </row>
    <row r="61" spans="1:8" x14ac:dyDescent="0.35">
      <c r="A61" s="1" t="s">
        <v>352</v>
      </c>
      <c r="B61" s="1" t="s">
        <v>353</v>
      </c>
      <c r="C61">
        <v>5.9499999999999997E-2</v>
      </c>
      <c r="D61">
        <v>49630667</v>
      </c>
      <c r="E61">
        <v>2546392</v>
      </c>
      <c r="F61" s="1" t="s">
        <v>357</v>
      </c>
      <c r="G61">
        <v>834000000</v>
      </c>
      <c r="H61" t="s">
        <v>1572</v>
      </c>
    </row>
    <row r="62" spans="1:8" x14ac:dyDescent="0.35">
      <c r="A62" s="1" t="s">
        <v>358</v>
      </c>
      <c r="B62" s="1" t="s">
        <v>359</v>
      </c>
      <c r="C62">
        <v>0.20219999999999999</v>
      </c>
      <c r="D62">
        <v>49554211</v>
      </c>
      <c r="E62">
        <v>480175</v>
      </c>
      <c r="F62" s="1" t="s">
        <v>363</v>
      </c>
      <c r="G62">
        <v>244990000</v>
      </c>
      <c r="H62" t="s">
        <v>1572</v>
      </c>
    </row>
    <row r="63" spans="1:8" x14ac:dyDescent="0.35">
      <c r="A63" s="1" t="s">
        <v>364</v>
      </c>
      <c r="B63" s="1" t="s">
        <v>365</v>
      </c>
      <c r="C63">
        <v>0.49399999999999999</v>
      </c>
      <c r="D63">
        <v>49401484</v>
      </c>
      <c r="E63">
        <v>16337624</v>
      </c>
      <c r="F63" s="1" t="s">
        <v>369</v>
      </c>
      <c r="G63">
        <v>100000000</v>
      </c>
      <c r="H63" t="s">
        <v>1572</v>
      </c>
    </row>
    <row r="64" spans="1:8" x14ac:dyDescent="0.35">
      <c r="A64" s="1" t="s">
        <v>370</v>
      </c>
      <c r="B64" s="1" t="s">
        <v>371</v>
      </c>
      <c r="C64">
        <v>3.9899999999999998E-2</v>
      </c>
      <c r="D64">
        <v>49367766</v>
      </c>
      <c r="E64">
        <v>11683768</v>
      </c>
      <c r="F64" s="1" t="s">
        <v>375</v>
      </c>
      <c r="G64">
        <v>1230000000</v>
      </c>
      <c r="H64" t="s">
        <v>1572</v>
      </c>
    </row>
    <row r="65" spans="1:8" x14ac:dyDescent="0.35">
      <c r="A65" s="1" t="s">
        <v>376</v>
      </c>
      <c r="B65" s="1" t="s">
        <v>377</v>
      </c>
      <c r="C65">
        <v>2.85</v>
      </c>
      <c r="D65">
        <v>49258508</v>
      </c>
      <c r="E65">
        <v>14061483</v>
      </c>
      <c r="F65" s="1" t="s">
        <v>381</v>
      </c>
      <c r="G65">
        <v>17240000</v>
      </c>
      <c r="H65" t="s">
        <v>1572</v>
      </c>
    </row>
    <row r="66" spans="1:8" x14ac:dyDescent="0.35">
      <c r="A66" s="1" t="s">
        <v>382</v>
      </c>
      <c r="B66" s="1" t="s">
        <v>383</v>
      </c>
      <c r="C66">
        <v>0.25130000000000002</v>
      </c>
      <c r="D66">
        <v>49022859</v>
      </c>
      <c r="E66">
        <v>7136430</v>
      </c>
      <c r="F66" s="1" t="s">
        <v>387</v>
      </c>
      <c r="G66">
        <v>195000000</v>
      </c>
      <c r="H66" t="s">
        <v>1572</v>
      </c>
    </row>
    <row r="67" spans="1:8" x14ac:dyDescent="0.35">
      <c r="A67" s="1" t="s">
        <v>388</v>
      </c>
      <c r="B67" s="1" t="s">
        <v>389</v>
      </c>
      <c r="C67">
        <v>9.0300000000000005E-2</v>
      </c>
      <c r="D67">
        <v>48908450</v>
      </c>
      <c r="E67">
        <v>42177361</v>
      </c>
      <c r="F67" s="1" t="s">
        <v>393</v>
      </c>
      <c r="G67">
        <v>541670000</v>
      </c>
      <c r="H67" t="s">
        <v>1572</v>
      </c>
    </row>
    <row r="68" spans="1:8" x14ac:dyDescent="0.35">
      <c r="A68" s="1" t="s">
        <v>394</v>
      </c>
      <c r="B68" s="1" t="s">
        <v>395</v>
      </c>
      <c r="C68">
        <v>4.8599999999999997E-2</v>
      </c>
      <c r="D68">
        <v>48582626</v>
      </c>
      <c r="E68">
        <v>11400199</v>
      </c>
      <c r="F68" s="1" t="s">
        <v>399</v>
      </c>
      <c r="G68">
        <v>998880000</v>
      </c>
      <c r="H68" t="s">
        <v>1572</v>
      </c>
    </row>
    <row r="69" spans="1:8" x14ac:dyDescent="0.35">
      <c r="A69" s="1" t="s">
        <v>400</v>
      </c>
      <c r="B69" s="1" t="s">
        <v>401</v>
      </c>
      <c r="C69">
        <v>7.9000000000000008E-3</v>
      </c>
      <c r="D69">
        <v>48480192</v>
      </c>
      <c r="E69">
        <v>7844929</v>
      </c>
      <c r="F69" s="1" t="s">
        <v>405</v>
      </c>
      <c r="G69">
        <v>6160000000</v>
      </c>
      <c r="H69" t="s">
        <v>1572</v>
      </c>
    </row>
    <row r="70" spans="1:8" x14ac:dyDescent="0.35">
      <c r="A70" s="1" t="s">
        <v>406</v>
      </c>
      <c r="B70" s="1" t="s">
        <v>407</v>
      </c>
      <c r="C70">
        <v>1.01E-2</v>
      </c>
      <c r="D70">
        <v>48415639</v>
      </c>
      <c r="E70">
        <v>3390339</v>
      </c>
      <c r="F70" s="1" t="s">
        <v>411</v>
      </c>
      <c r="G70">
        <v>4800000000</v>
      </c>
      <c r="H70" t="s">
        <v>1572</v>
      </c>
    </row>
    <row r="71" spans="1:8" x14ac:dyDescent="0.35">
      <c r="A71" s="1" t="s">
        <v>412</v>
      </c>
      <c r="B71" s="1" t="s">
        <v>412</v>
      </c>
      <c r="C71">
        <v>3.5000000000000001E-3</v>
      </c>
      <c r="D71">
        <v>47896221</v>
      </c>
      <c r="E71">
        <v>6976369</v>
      </c>
      <c r="F71" s="1" t="s">
        <v>416</v>
      </c>
      <c r="G71">
        <v>13720000000</v>
      </c>
      <c r="H71" t="s">
        <v>1572</v>
      </c>
    </row>
    <row r="72" spans="1:8" x14ac:dyDescent="0.35">
      <c r="A72" s="1" t="s">
        <v>417</v>
      </c>
      <c r="B72" s="1" t="s">
        <v>418</v>
      </c>
      <c r="C72">
        <v>11.07</v>
      </c>
      <c r="D72">
        <v>47823099</v>
      </c>
      <c r="E72">
        <v>3497033</v>
      </c>
      <c r="F72" s="1" t="s">
        <v>422</v>
      </c>
      <c r="G72">
        <v>4310000</v>
      </c>
      <c r="H72" t="s">
        <v>1572</v>
      </c>
    </row>
    <row r="73" spans="1:8" x14ac:dyDescent="0.35">
      <c r="A73" s="1" t="s">
        <v>423</v>
      </c>
      <c r="B73" s="1" t="s">
        <v>424</v>
      </c>
      <c r="C73">
        <v>4.07E-2</v>
      </c>
      <c r="D73">
        <v>36772464</v>
      </c>
      <c r="E73">
        <v>19215</v>
      </c>
      <c r="F73" s="1" t="s">
        <v>428</v>
      </c>
      <c r="G73">
        <v>903160000</v>
      </c>
      <c r="H73" t="s">
        <v>1572</v>
      </c>
    </row>
    <row r="74" spans="1:8" x14ac:dyDescent="0.35">
      <c r="A74" s="1" t="s">
        <v>429</v>
      </c>
      <c r="B74" s="1" t="s">
        <v>430</v>
      </c>
      <c r="C74">
        <v>0.1845</v>
      </c>
      <c r="D74">
        <v>36622824</v>
      </c>
      <c r="E74">
        <v>6535</v>
      </c>
      <c r="F74" s="1" t="s">
        <v>434</v>
      </c>
      <c r="G74">
        <v>198390000</v>
      </c>
      <c r="H74" t="s">
        <v>1572</v>
      </c>
    </row>
    <row r="75" spans="1:8" x14ac:dyDescent="0.35">
      <c r="A75" s="1" t="s">
        <v>435</v>
      </c>
      <c r="B75" s="1" t="s">
        <v>436</v>
      </c>
      <c r="C75">
        <v>8.0999999999999996E-3</v>
      </c>
      <c r="D75">
        <v>36582048</v>
      </c>
      <c r="E75">
        <v>4599592</v>
      </c>
      <c r="F75" s="1" t="s">
        <v>440</v>
      </c>
      <c r="G75">
        <v>4510000000</v>
      </c>
      <c r="H75" t="s">
        <v>1572</v>
      </c>
    </row>
    <row r="76" spans="1:8" x14ac:dyDescent="0.35">
      <c r="A76" s="1" t="s">
        <v>441</v>
      </c>
      <c r="B76" s="1" t="s">
        <v>442</v>
      </c>
      <c r="C76">
        <v>2.95</v>
      </c>
      <c r="D76">
        <v>36531693</v>
      </c>
      <c r="E76">
        <v>66179</v>
      </c>
      <c r="F76" s="1" t="s">
        <v>446</v>
      </c>
      <c r="G76">
        <v>12340000</v>
      </c>
      <c r="H76" t="s">
        <v>1572</v>
      </c>
    </row>
    <row r="77" spans="1:8" x14ac:dyDescent="0.35">
      <c r="A77" s="1" t="s">
        <v>447</v>
      </c>
      <c r="B77" s="1" t="s">
        <v>448</v>
      </c>
      <c r="C77">
        <v>4.09</v>
      </c>
      <c r="D77">
        <v>36341538</v>
      </c>
      <c r="E77">
        <v>28191</v>
      </c>
      <c r="F77" s="1" t="s">
        <v>452</v>
      </c>
      <c r="G77">
        <v>8880000</v>
      </c>
      <c r="H77" t="s">
        <v>1572</v>
      </c>
    </row>
    <row r="78" spans="1:8" x14ac:dyDescent="0.35">
      <c r="A78" s="1" t="s">
        <v>453</v>
      </c>
      <c r="B78" s="1" t="s">
        <v>454</v>
      </c>
      <c r="C78">
        <v>6.9699999999999998E-2</v>
      </c>
      <c r="D78">
        <v>36292516</v>
      </c>
      <c r="E78">
        <v>8609320</v>
      </c>
      <c r="F78" s="1" t="s">
        <v>458</v>
      </c>
      <c r="G78">
        <v>520549999.99999994</v>
      </c>
      <c r="H78" t="s">
        <v>1572</v>
      </c>
    </row>
    <row r="79" spans="1:8" x14ac:dyDescent="0.35">
      <c r="A79" s="1" t="s">
        <v>459</v>
      </c>
      <c r="B79" s="1" t="s">
        <v>460</v>
      </c>
      <c r="C79">
        <v>5.0000000000000001E-4</v>
      </c>
      <c r="D79">
        <v>36247561</v>
      </c>
      <c r="E79">
        <v>8647908</v>
      </c>
      <c r="F79" s="1" t="s">
        <v>464</v>
      </c>
      <c r="G79">
        <v>74710000000</v>
      </c>
      <c r="H79" t="s">
        <v>1572</v>
      </c>
    </row>
    <row r="80" spans="1:8" x14ac:dyDescent="0.35">
      <c r="A80" s="1" t="s">
        <v>465</v>
      </c>
      <c r="B80" s="1" t="s">
        <v>466</v>
      </c>
      <c r="C80">
        <v>6.6199999999999995E-2</v>
      </c>
      <c r="D80">
        <v>36176808</v>
      </c>
      <c r="E80">
        <v>46397599</v>
      </c>
      <c r="F80" s="1" t="s">
        <v>470</v>
      </c>
      <c r="G80">
        <v>546630000</v>
      </c>
      <c r="H80" t="s">
        <v>1572</v>
      </c>
    </row>
    <row r="81" spans="1:8" x14ac:dyDescent="0.35">
      <c r="A81" s="1" t="s">
        <v>471</v>
      </c>
      <c r="B81" s="1" t="s">
        <v>472</v>
      </c>
      <c r="C81">
        <v>1.98</v>
      </c>
      <c r="D81">
        <v>36139094</v>
      </c>
      <c r="E81">
        <v>2216355</v>
      </c>
      <c r="F81" s="1" t="s">
        <v>476</v>
      </c>
      <c r="G81">
        <v>18250000</v>
      </c>
      <c r="H81" t="s">
        <v>1572</v>
      </c>
    </row>
    <row r="82" spans="1:8" x14ac:dyDescent="0.35">
      <c r="A82" s="1" t="s">
        <v>477</v>
      </c>
      <c r="B82" s="1" t="s">
        <v>478</v>
      </c>
      <c r="C82">
        <v>0.54759999999999998</v>
      </c>
      <c r="D82">
        <v>36119506</v>
      </c>
      <c r="E82">
        <v>6526938</v>
      </c>
      <c r="F82" s="1" t="s">
        <v>482</v>
      </c>
      <c r="G82">
        <v>65950000</v>
      </c>
      <c r="H82" t="s">
        <v>1572</v>
      </c>
    </row>
    <row r="83" spans="1:8" x14ac:dyDescent="0.35">
      <c r="A83" s="1" t="s">
        <v>483</v>
      </c>
      <c r="B83" s="1" t="s">
        <v>484</v>
      </c>
      <c r="C83">
        <v>0.10639999999999999</v>
      </c>
      <c r="D83">
        <v>36115608</v>
      </c>
      <c r="E83">
        <v>1795181</v>
      </c>
      <c r="F83" s="1" t="s">
        <v>488</v>
      </c>
      <c r="G83">
        <v>339240000</v>
      </c>
      <c r="H83" t="s">
        <v>1572</v>
      </c>
    </row>
    <row r="84" spans="1:8" x14ac:dyDescent="0.35">
      <c r="A84" s="1" t="s">
        <v>489</v>
      </c>
      <c r="B84" s="1" t="s">
        <v>489</v>
      </c>
      <c r="C84">
        <v>1.2999999999999999E-3</v>
      </c>
      <c r="D84">
        <v>36061699</v>
      </c>
      <c r="E84">
        <v>154445</v>
      </c>
      <c r="F84" s="1" t="s">
        <v>493</v>
      </c>
      <c r="G84">
        <v>27800000000</v>
      </c>
      <c r="H84" t="s">
        <v>1572</v>
      </c>
    </row>
    <row r="85" spans="1:8" x14ac:dyDescent="0.35">
      <c r="A85" s="1" t="s">
        <v>494</v>
      </c>
      <c r="B85" s="1" t="s">
        <v>494</v>
      </c>
      <c r="C85">
        <v>1E-4</v>
      </c>
      <c r="D85">
        <v>35979632</v>
      </c>
      <c r="E85">
        <v>240360425</v>
      </c>
      <c r="F85" s="1" t="s">
        <v>498</v>
      </c>
      <c r="G85">
        <v>516750000000</v>
      </c>
      <c r="H85" t="s">
        <v>1572</v>
      </c>
    </row>
    <row r="86" spans="1:8" x14ac:dyDescent="0.35">
      <c r="A86" s="1" t="s">
        <v>499</v>
      </c>
      <c r="B86" s="1" t="s">
        <v>500</v>
      </c>
      <c r="C86">
        <v>1.8700000000000001E-2</v>
      </c>
      <c r="D86">
        <v>35977126</v>
      </c>
      <c r="E86">
        <v>957024</v>
      </c>
      <c r="F86" s="1" t="s">
        <v>504</v>
      </c>
      <c r="G86">
        <v>1910000000</v>
      </c>
      <c r="H86" t="s">
        <v>1572</v>
      </c>
    </row>
    <row r="87" spans="1:8" x14ac:dyDescent="0.35">
      <c r="A87" s="1" t="s">
        <v>510</v>
      </c>
      <c r="B87" s="1" t="s">
        <v>511</v>
      </c>
      <c r="C87">
        <v>5.2299999999999999E-2</v>
      </c>
      <c r="D87">
        <v>28654402</v>
      </c>
      <c r="E87">
        <v>3740400</v>
      </c>
      <c r="F87" s="1" t="s">
        <v>515</v>
      </c>
      <c r="G87">
        <v>547520000</v>
      </c>
      <c r="H87" t="s">
        <v>1572</v>
      </c>
    </row>
    <row r="88" spans="1:8" x14ac:dyDescent="0.35">
      <c r="A88" s="1" t="s">
        <v>519</v>
      </c>
      <c r="B88" s="1" t="s">
        <v>520</v>
      </c>
      <c r="C88">
        <v>1.1999999999999999E-3</v>
      </c>
      <c r="D88">
        <v>28629432</v>
      </c>
      <c r="E88">
        <v>3495647</v>
      </c>
      <c r="F88" s="1" t="s">
        <v>524</v>
      </c>
      <c r="G88">
        <v>22980000000</v>
      </c>
      <c r="H88" t="s">
        <v>1572</v>
      </c>
    </row>
    <row r="89" spans="1:8" x14ac:dyDescent="0.35">
      <c r="A89" s="1" t="s">
        <v>525</v>
      </c>
      <c r="B89" s="1" t="s">
        <v>526</v>
      </c>
      <c r="C89">
        <v>2.0199999999999999E-2</v>
      </c>
      <c r="D89">
        <v>28613696</v>
      </c>
      <c r="E89">
        <v>8979297</v>
      </c>
      <c r="F89" s="1" t="s">
        <v>530</v>
      </c>
      <c r="G89">
        <v>1410000000</v>
      </c>
      <c r="H89" t="s">
        <v>1572</v>
      </c>
    </row>
    <row r="90" spans="1:8" x14ac:dyDescent="0.35">
      <c r="A90" s="1" t="s">
        <v>531</v>
      </c>
      <c r="B90" s="1" t="s">
        <v>531</v>
      </c>
      <c r="C90">
        <v>1.1000000000000001E-3</v>
      </c>
      <c r="D90">
        <v>28562726</v>
      </c>
      <c r="E90">
        <v>1218304</v>
      </c>
      <c r="F90" s="1" t="s">
        <v>535</v>
      </c>
      <c r="G90">
        <v>25970000000</v>
      </c>
      <c r="H90" t="s">
        <v>1572</v>
      </c>
    </row>
    <row r="91" spans="1:8" x14ac:dyDescent="0.35">
      <c r="A91" s="1" t="s">
        <v>536</v>
      </c>
      <c r="B91" s="1" t="s">
        <v>537</v>
      </c>
      <c r="C91">
        <v>9.4700000000000006E-2</v>
      </c>
      <c r="D91">
        <v>28515048</v>
      </c>
      <c r="E91">
        <v>2590881</v>
      </c>
      <c r="F91" s="1" t="s">
        <v>541</v>
      </c>
      <c r="G91">
        <v>300960000</v>
      </c>
      <c r="H91" t="s">
        <v>1572</v>
      </c>
    </row>
    <row r="92" spans="1:8" x14ac:dyDescent="0.35">
      <c r="A92" s="1" t="s">
        <v>542</v>
      </c>
      <c r="B92" s="1" t="s">
        <v>543</v>
      </c>
      <c r="C92">
        <v>2.83</v>
      </c>
      <c r="D92">
        <v>28315966</v>
      </c>
      <c r="E92">
        <v>25499</v>
      </c>
      <c r="F92" s="1" t="s">
        <v>547</v>
      </c>
      <c r="G92">
        <v>10000000</v>
      </c>
      <c r="H92" t="s">
        <v>1572</v>
      </c>
    </row>
    <row r="93" spans="1:8" x14ac:dyDescent="0.35">
      <c r="A93" s="1" t="s">
        <v>548</v>
      </c>
      <c r="B93" s="1" t="s">
        <v>548</v>
      </c>
      <c r="C93">
        <v>2.9600000000000001E-2</v>
      </c>
      <c r="D93">
        <v>28055991</v>
      </c>
      <c r="E93">
        <v>147271</v>
      </c>
      <c r="F93" s="1" t="s">
        <v>552</v>
      </c>
      <c r="G93">
        <v>949220000</v>
      </c>
      <c r="H93" t="s">
        <v>1572</v>
      </c>
    </row>
    <row r="94" spans="1:8" x14ac:dyDescent="0.35">
      <c r="A94" s="1" t="s">
        <v>553</v>
      </c>
      <c r="B94" s="1" t="s">
        <v>554</v>
      </c>
      <c r="C94">
        <v>8.2000000000000003E-2</v>
      </c>
      <c r="D94">
        <v>27886592</v>
      </c>
      <c r="E94">
        <v>8989160</v>
      </c>
      <c r="F94" s="1" t="s">
        <v>558</v>
      </c>
      <c r="G94">
        <v>340280000</v>
      </c>
      <c r="H94" t="s">
        <v>1572</v>
      </c>
    </row>
    <row r="95" spans="1:8" x14ac:dyDescent="0.35">
      <c r="A95" s="1" t="s">
        <v>559</v>
      </c>
      <c r="B95" s="1" t="s">
        <v>560</v>
      </c>
      <c r="C95">
        <v>3.3300000000000003E-2</v>
      </c>
      <c r="D95">
        <v>27886187</v>
      </c>
      <c r="E95">
        <v>8565240</v>
      </c>
      <c r="F95" s="1" t="s">
        <v>564</v>
      </c>
      <c r="G95">
        <v>837990000</v>
      </c>
      <c r="H95" t="s">
        <v>1572</v>
      </c>
    </row>
    <row r="96" spans="1:8" x14ac:dyDescent="0.35">
      <c r="A96" s="1" t="s">
        <v>565</v>
      </c>
      <c r="B96" s="1" t="s">
        <v>566</v>
      </c>
      <c r="C96">
        <v>0.26379999999999998</v>
      </c>
      <c r="D96">
        <v>27868195</v>
      </c>
      <c r="E96">
        <v>1779</v>
      </c>
      <c r="F96" s="1" t="s">
        <v>570</v>
      </c>
      <c r="G96">
        <v>105600000</v>
      </c>
      <c r="H96" t="s">
        <v>1572</v>
      </c>
    </row>
    <row r="97" spans="1:8" x14ac:dyDescent="0.35">
      <c r="A97" s="1" t="s">
        <v>571</v>
      </c>
      <c r="B97" s="1" t="s">
        <v>571</v>
      </c>
      <c r="C97">
        <v>1</v>
      </c>
      <c r="D97">
        <v>22360485</v>
      </c>
      <c r="E97">
        <v>1822</v>
      </c>
      <c r="F97" s="1" t="s">
        <v>574</v>
      </c>
      <c r="G97">
        <v>22290000</v>
      </c>
      <c r="H97" t="s">
        <v>1572</v>
      </c>
    </row>
    <row r="98" spans="1:8" x14ac:dyDescent="0.35">
      <c r="A98" s="1" t="s">
        <v>575</v>
      </c>
      <c r="B98" s="1" t="s">
        <v>576</v>
      </c>
      <c r="C98">
        <v>4549.22</v>
      </c>
      <c r="D98">
        <v>22334334</v>
      </c>
      <c r="E98">
        <v>350708</v>
      </c>
      <c r="F98" s="1" t="s">
        <v>580</v>
      </c>
      <c r="G98">
        <v>4900</v>
      </c>
      <c r="H98" t="s">
        <v>1571</v>
      </c>
    </row>
    <row r="99" spans="1:8" x14ac:dyDescent="0.35">
      <c r="A99" s="1" t="s">
        <v>581</v>
      </c>
      <c r="B99" s="1" t="s">
        <v>582</v>
      </c>
      <c r="C99">
        <v>8.8999999999999999E-3</v>
      </c>
      <c r="D99">
        <v>22236847</v>
      </c>
      <c r="E99">
        <v>8451143</v>
      </c>
      <c r="F99" s="1" t="s">
        <v>258</v>
      </c>
      <c r="G99">
        <v>2500000000</v>
      </c>
      <c r="H99" t="s">
        <v>1572</v>
      </c>
    </row>
    <row r="100" spans="1:8" x14ac:dyDescent="0.35">
      <c r="A100" s="1" t="s">
        <v>586</v>
      </c>
      <c r="B100" s="1" t="s">
        <v>587</v>
      </c>
      <c r="C100">
        <v>9.4999999999999998E-3</v>
      </c>
      <c r="D100">
        <v>22191489</v>
      </c>
      <c r="E100">
        <v>28738721</v>
      </c>
      <c r="F100" s="1" t="s">
        <v>591</v>
      </c>
      <c r="G100">
        <v>2340000000</v>
      </c>
      <c r="H100" t="s">
        <v>1572</v>
      </c>
    </row>
    <row r="101" spans="1:8" x14ac:dyDescent="0.35">
      <c r="A101" s="1" t="s">
        <v>592</v>
      </c>
      <c r="B101" s="1" t="s">
        <v>593</v>
      </c>
      <c r="C101">
        <v>7.6100000000000001E-2</v>
      </c>
      <c r="D101">
        <v>22116898</v>
      </c>
      <c r="E101">
        <v>7224072</v>
      </c>
      <c r="F101" s="1" t="s">
        <v>597</v>
      </c>
      <c r="G101">
        <v>290640000</v>
      </c>
      <c r="H101" t="s">
        <v>1572</v>
      </c>
    </row>
    <row r="102" spans="1:8" x14ac:dyDescent="0.35">
      <c r="A102" s="1" t="s">
        <v>598</v>
      </c>
      <c r="B102" s="1" t="s">
        <v>599</v>
      </c>
      <c r="C102">
        <v>2.93E-2</v>
      </c>
      <c r="D102">
        <v>22001283</v>
      </c>
      <c r="E102">
        <v>2012693</v>
      </c>
      <c r="F102" s="1" t="s">
        <v>603</v>
      </c>
      <c r="G102">
        <v>749990000</v>
      </c>
      <c r="H102" t="s">
        <v>1572</v>
      </c>
    </row>
    <row r="103" spans="1:8" x14ac:dyDescent="0.35">
      <c r="A103" s="1" t="s">
        <v>604</v>
      </c>
      <c r="B103" s="1" t="s">
        <v>605</v>
      </c>
      <c r="C103">
        <v>1.6199999999999999E-2</v>
      </c>
      <c r="D103">
        <v>21953608</v>
      </c>
      <c r="E103">
        <v>171678</v>
      </c>
      <c r="F103" s="1" t="s">
        <v>609</v>
      </c>
      <c r="G103">
        <v>1350000000</v>
      </c>
      <c r="H103" t="s">
        <v>1572</v>
      </c>
    </row>
    <row r="104" spans="1:8" x14ac:dyDescent="0.35">
      <c r="A104" s="1" t="s">
        <v>610</v>
      </c>
      <c r="B104" s="1" t="s">
        <v>611</v>
      </c>
      <c r="C104">
        <v>2.1899999999999999E-2</v>
      </c>
      <c r="D104">
        <v>21930599</v>
      </c>
      <c r="E104">
        <v>4072583</v>
      </c>
      <c r="F104" s="1" t="s">
        <v>615</v>
      </c>
      <c r="G104">
        <v>999790000</v>
      </c>
      <c r="H104" t="s">
        <v>1572</v>
      </c>
    </row>
    <row r="105" spans="1:8" x14ac:dyDescent="0.35">
      <c r="A105" s="1" t="s">
        <v>616</v>
      </c>
      <c r="B105" s="1" t="s">
        <v>617</v>
      </c>
      <c r="C105">
        <v>0.14979999999999999</v>
      </c>
      <c r="D105">
        <v>21878494</v>
      </c>
      <c r="E105">
        <v>1243931</v>
      </c>
      <c r="F105" s="1" t="s">
        <v>621</v>
      </c>
      <c r="G105">
        <v>146000000</v>
      </c>
      <c r="H105" t="s">
        <v>1572</v>
      </c>
    </row>
    <row r="106" spans="1:8" x14ac:dyDescent="0.35">
      <c r="A106" s="1" t="s">
        <v>622</v>
      </c>
      <c r="B106" s="1" t="s">
        <v>623</v>
      </c>
      <c r="C106">
        <v>5.5999999999999999E-3</v>
      </c>
      <c r="D106">
        <v>21730464</v>
      </c>
      <c r="E106">
        <v>12094961</v>
      </c>
      <c r="F106" s="1" t="s">
        <v>627</v>
      </c>
      <c r="G106">
        <v>3890000000</v>
      </c>
      <c r="H106" t="s">
        <v>1572</v>
      </c>
    </row>
    <row r="107" spans="1:8" x14ac:dyDescent="0.35">
      <c r="A107" s="1" t="s">
        <v>628</v>
      </c>
      <c r="B107" s="1" t="s">
        <v>629</v>
      </c>
      <c r="C107">
        <v>8.6999999999999994E-3</v>
      </c>
      <c r="D107">
        <v>21691383</v>
      </c>
      <c r="E107">
        <v>118940</v>
      </c>
      <c r="F107" s="1" t="s">
        <v>633</v>
      </c>
      <c r="G107">
        <v>2480000000</v>
      </c>
      <c r="H107" t="s">
        <v>1572</v>
      </c>
    </row>
    <row r="108" spans="1:8" x14ac:dyDescent="0.35">
      <c r="A108" s="1" t="s">
        <v>634</v>
      </c>
      <c r="B108" s="1" t="s">
        <v>635</v>
      </c>
      <c r="C108">
        <v>2.8E-3</v>
      </c>
      <c r="D108">
        <v>21670440</v>
      </c>
      <c r="E108">
        <v>4183657</v>
      </c>
      <c r="F108" s="1" t="s">
        <v>639</v>
      </c>
      <c r="G108">
        <v>7800000000</v>
      </c>
      <c r="H108" t="s">
        <v>1572</v>
      </c>
    </row>
    <row r="109" spans="1:8" x14ac:dyDescent="0.35">
      <c r="A109" s="1" t="s">
        <v>640</v>
      </c>
      <c r="B109" s="1" t="s">
        <v>641</v>
      </c>
      <c r="C109">
        <v>6.6000000000000003E-2</v>
      </c>
      <c r="D109">
        <v>21662370</v>
      </c>
      <c r="E109">
        <v>5337772</v>
      </c>
      <c r="F109" s="1" t="s">
        <v>645</v>
      </c>
      <c r="G109">
        <v>328030000</v>
      </c>
      <c r="H109" t="s">
        <v>1572</v>
      </c>
    </row>
    <row r="110" spans="1:8" x14ac:dyDescent="0.35">
      <c r="A110" s="1" t="s">
        <v>646</v>
      </c>
      <c r="B110" s="1" t="s">
        <v>647</v>
      </c>
      <c r="C110">
        <v>5.9799999999999999E-2</v>
      </c>
      <c r="D110">
        <v>21591583</v>
      </c>
      <c r="E110">
        <v>3442353</v>
      </c>
      <c r="F110" s="1" t="s">
        <v>651</v>
      </c>
      <c r="G110">
        <v>361140000</v>
      </c>
      <c r="H110" t="s">
        <v>1572</v>
      </c>
    </row>
    <row r="111" spans="1:8" x14ac:dyDescent="0.35">
      <c r="A111" s="1" t="s">
        <v>652</v>
      </c>
      <c r="B111" s="1" t="s">
        <v>653</v>
      </c>
      <c r="C111">
        <v>6.81</v>
      </c>
      <c r="D111">
        <v>17027990</v>
      </c>
      <c r="E111">
        <v>169029</v>
      </c>
      <c r="F111" s="1" t="s">
        <v>657</v>
      </c>
      <c r="G111">
        <v>2500000</v>
      </c>
      <c r="H111" t="s">
        <v>1572</v>
      </c>
    </row>
    <row r="112" spans="1:8" x14ac:dyDescent="0.35">
      <c r="A112" s="1" t="s">
        <v>658</v>
      </c>
      <c r="B112" s="1" t="s">
        <v>659</v>
      </c>
      <c r="C112">
        <v>6.7999999999999996E-3</v>
      </c>
      <c r="D112">
        <v>16992885</v>
      </c>
      <c r="E112">
        <v>16268438</v>
      </c>
      <c r="F112" s="1" t="s">
        <v>258</v>
      </c>
      <c r="G112">
        <v>2500000000</v>
      </c>
      <c r="H112" t="s">
        <v>1572</v>
      </c>
    </row>
    <row r="113" spans="1:8" x14ac:dyDescent="0.35">
      <c r="A113" s="1" t="s">
        <v>663</v>
      </c>
      <c r="B113" s="1" t="s">
        <v>664</v>
      </c>
      <c r="C113">
        <v>7.3800000000000004E-2</v>
      </c>
      <c r="D113">
        <v>16898033</v>
      </c>
      <c r="E113">
        <v>4954639</v>
      </c>
      <c r="F113" s="1" t="s">
        <v>668</v>
      </c>
      <c r="G113">
        <v>228980000</v>
      </c>
      <c r="H113" t="s">
        <v>1572</v>
      </c>
    </row>
    <row r="114" spans="1:8" x14ac:dyDescent="0.35">
      <c r="A114" s="1" t="s">
        <v>669</v>
      </c>
      <c r="B114" s="1" t="s">
        <v>670</v>
      </c>
      <c r="C114">
        <v>4.0000000000000002E-4</v>
      </c>
      <c r="D114">
        <v>16882309</v>
      </c>
      <c r="E114">
        <v>15285861</v>
      </c>
      <c r="F114" s="1" t="s">
        <v>674</v>
      </c>
      <c r="G114">
        <v>46430000000</v>
      </c>
      <c r="H114" t="s">
        <v>1572</v>
      </c>
    </row>
    <row r="115" spans="1:8" x14ac:dyDescent="0.35">
      <c r="A115" s="1" t="s">
        <v>675</v>
      </c>
      <c r="B115" s="1" t="s">
        <v>676</v>
      </c>
      <c r="C115">
        <v>0.23549999999999999</v>
      </c>
      <c r="D115">
        <v>16789468</v>
      </c>
      <c r="E115">
        <v>240379</v>
      </c>
      <c r="F115" s="1" t="s">
        <v>680</v>
      </c>
      <c r="G115">
        <v>71280000</v>
      </c>
      <c r="H115" t="s">
        <v>1572</v>
      </c>
    </row>
    <row r="116" spans="1:8" x14ac:dyDescent="0.35">
      <c r="A116" s="1" t="s">
        <v>681</v>
      </c>
      <c r="B116" s="1" t="s">
        <v>682</v>
      </c>
      <c r="C116">
        <v>1.6500000000000001E-2</v>
      </c>
      <c r="D116">
        <v>16518027</v>
      </c>
      <c r="E116">
        <v>219281</v>
      </c>
      <c r="F116" s="1" t="s">
        <v>121</v>
      </c>
      <c r="G116">
        <v>1000000000</v>
      </c>
      <c r="H116" t="s">
        <v>1572</v>
      </c>
    </row>
    <row r="117" spans="1:8" x14ac:dyDescent="0.35">
      <c r="A117" s="1" t="s">
        <v>686</v>
      </c>
      <c r="B117" s="1" t="s">
        <v>687</v>
      </c>
      <c r="C117">
        <v>4.0999999999999996</v>
      </c>
      <c r="D117">
        <v>16444782</v>
      </c>
      <c r="E117">
        <v>17540243</v>
      </c>
      <c r="F117" s="1" t="s">
        <v>691</v>
      </c>
      <c r="G117">
        <v>4000000</v>
      </c>
      <c r="H117" t="s">
        <v>1572</v>
      </c>
    </row>
    <row r="118" spans="1:8" x14ac:dyDescent="0.35">
      <c r="A118" s="1" t="s">
        <v>692</v>
      </c>
      <c r="B118" s="1" t="s">
        <v>693</v>
      </c>
      <c r="C118">
        <v>1.34</v>
      </c>
      <c r="D118">
        <v>16435362</v>
      </c>
      <c r="E118">
        <v>2577378</v>
      </c>
      <c r="F118" s="1" t="s">
        <v>697</v>
      </c>
      <c r="G118">
        <v>12190000</v>
      </c>
      <c r="H118" t="s">
        <v>1572</v>
      </c>
    </row>
    <row r="119" spans="1:8" x14ac:dyDescent="0.35">
      <c r="A119" s="1" t="s">
        <v>698</v>
      </c>
      <c r="B119" s="1" t="s">
        <v>698</v>
      </c>
      <c r="C119">
        <v>1.66E-2</v>
      </c>
      <c r="D119">
        <v>16409662</v>
      </c>
      <c r="E119">
        <v>45011</v>
      </c>
      <c r="F119" s="1" t="s">
        <v>702</v>
      </c>
      <c r="G119">
        <v>990080000</v>
      </c>
      <c r="H119" t="s">
        <v>1572</v>
      </c>
    </row>
    <row r="120" spans="1:8" x14ac:dyDescent="0.35">
      <c r="A120" s="1" t="s">
        <v>703</v>
      </c>
      <c r="B120" s="1" t="s">
        <v>704</v>
      </c>
      <c r="C120">
        <v>0.88319999999999999</v>
      </c>
      <c r="D120">
        <v>16384951</v>
      </c>
      <c r="E120">
        <v>352268</v>
      </c>
      <c r="F120" s="1" t="s">
        <v>708</v>
      </c>
      <c r="G120">
        <v>18550000</v>
      </c>
      <c r="H120" t="s">
        <v>1572</v>
      </c>
    </row>
    <row r="121" spans="1:8" x14ac:dyDescent="0.35">
      <c r="A121" s="1" t="s">
        <v>709</v>
      </c>
      <c r="B121" s="1" t="s">
        <v>710</v>
      </c>
      <c r="C121">
        <v>1.6999999999999999E-3</v>
      </c>
      <c r="D121">
        <v>16382832</v>
      </c>
      <c r="E121">
        <v>458388</v>
      </c>
      <c r="F121" s="1" t="s">
        <v>714</v>
      </c>
      <c r="G121">
        <v>9790000000</v>
      </c>
      <c r="H121" t="s">
        <v>1572</v>
      </c>
    </row>
    <row r="122" spans="1:8" x14ac:dyDescent="0.35">
      <c r="A122" s="1" t="s">
        <v>715</v>
      </c>
      <c r="B122" s="1" t="s">
        <v>716</v>
      </c>
      <c r="C122">
        <v>1.2999999999999999E-2</v>
      </c>
      <c r="D122">
        <v>13016968</v>
      </c>
      <c r="E122">
        <v>1674459</v>
      </c>
      <c r="F122" s="1" t="s">
        <v>720</v>
      </c>
      <c r="G122">
        <v>998830000</v>
      </c>
      <c r="H122" t="s">
        <v>1572</v>
      </c>
    </row>
    <row r="123" spans="1:8" x14ac:dyDescent="0.35">
      <c r="A123" s="1" t="s">
        <v>721</v>
      </c>
      <c r="B123" s="1" t="s">
        <v>722</v>
      </c>
      <c r="C123">
        <v>0.54020000000000001</v>
      </c>
      <c r="D123">
        <v>12972112</v>
      </c>
      <c r="E123">
        <v>1631522</v>
      </c>
      <c r="F123" s="1" t="s">
        <v>726</v>
      </c>
      <c r="G123">
        <v>24010000</v>
      </c>
      <c r="H123" t="s">
        <v>1572</v>
      </c>
    </row>
    <row r="124" spans="1:8" x14ac:dyDescent="0.35">
      <c r="A124" s="1" t="s">
        <v>727</v>
      </c>
      <c r="B124" s="1" t="s">
        <v>728</v>
      </c>
      <c r="C124">
        <v>2.5100000000000001E-2</v>
      </c>
      <c r="D124">
        <v>12936920</v>
      </c>
      <c r="E124">
        <v>504625</v>
      </c>
      <c r="F124" s="1" t="s">
        <v>732</v>
      </c>
      <c r="G124">
        <v>515730000</v>
      </c>
      <c r="H124" t="s">
        <v>1572</v>
      </c>
    </row>
    <row r="125" spans="1:8" x14ac:dyDescent="0.35">
      <c r="A125" s="1" t="s">
        <v>733</v>
      </c>
      <c r="B125" s="1" t="s">
        <v>734</v>
      </c>
      <c r="C125">
        <v>1.8E-3</v>
      </c>
      <c r="D125">
        <v>12762794</v>
      </c>
      <c r="E125">
        <v>1014807</v>
      </c>
      <c r="F125" s="1" t="s">
        <v>738</v>
      </c>
      <c r="G125">
        <v>7200000000</v>
      </c>
      <c r="H125" t="s">
        <v>1572</v>
      </c>
    </row>
    <row r="126" spans="1:8" x14ac:dyDescent="0.35">
      <c r="A126" s="1" t="s">
        <v>739</v>
      </c>
      <c r="B126" s="1" t="s">
        <v>739</v>
      </c>
      <c r="C126">
        <v>7.0800000000000002E-2</v>
      </c>
      <c r="D126">
        <v>12753001</v>
      </c>
      <c r="E126">
        <v>64060</v>
      </c>
      <c r="F126" s="1" t="s">
        <v>743</v>
      </c>
      <c r="G126">
        <v>180000000</v>
      </c>
      <c r="H126" t="s">
        <v>1572</v>
      </c>
    </row>
    <row r="127" spans="1:8" x14ac:dyDescent="0.35">
      <c r="A127" s="1" t="s">
        <v>744</v>
      </c>
      <c r="B127" s="1" t="s">
        <v>745</v>
      </c>
      <c r="C127">
        <v>5.7000000000000002E-3</v>
      </c>
      <c r="D127">
        <v>12706172</v>
      </c>
      <c r="E127">
        <v>6846074</v>
      </c>
      <c r="F127" s="1" t="s">
        <v>749</v>
      </c>
      <c r="G127">
        <v>2220000000</v>
      </c>
      <c r="H127" t="s">
        <v>1572</v>
      </c>
    </row>
    <row r="128" spans="1:8" x14ac:dyDescent="0.35">
      <c r="A128" s="1" t="s">
        <v>750</v>
      </c>
      <c r="B128" s="1" t="s">
        <v>751</v>
      </c>
      <c r="C128">
        <v>1.5800000000000002E-2</v>
      </c>
      <c r="D128">
        <v>12705874</v>
      </c>
      <c r="E128">
        <v>1443682</v>
      </c>
      <c r="F128" s="1" t="s">
        <v>755</v>
      </c>
      <c r="G128">
        <v>805000000</v>
      </c>
      <c r="H128" t="s">
        <v>1572</v>
      </c>
    </row>
    <row r="129" spans="1:8" x14ac:dyDescent="0.35">
      <c r="A129" s="1" t="s">
        <v>756</v>
      </c>
      <c r="B129" s="1" t="s">
        <v>757</v>
      </c>
      <c r="C129">
        <v>1.2999999999999999E-2</v>
      </c>
      <c r="D129">
        <v>12739694</v>
      </c>
      <c r="E129">
        <v>4292556</v>
      </c>
      <c r="F129" s="1" t="s">
        <v>761</v>
      </c>
      <c r="G129">
        <v>978220000</v>
      </c>
      <c r="H129" t="s">
        <v>1572</v>
      </c>
    </row>
    <row r="130" spans="1:8" x14ac:dyDescent="0.35">
      <c r="A130" s="1" t="s">
        <v>762</v>
      </c>
      <c r="B130" s="1" t="s">
        <v>763</v>
      </c>
      <c r="C130">
        <v>0.27350000000000002</v>
      </c>
      <c r="D130">
        <v>12595161</v>
      </c>
      <c r="E130">
        <v>3376620</v>
      </c>
      <c r="F130" s="1" t="s">
        <v>767</v>
      </c>
      <c r="G130">
        <v>46030000</v>
      </c>
      <c r="H130" t="s">
        <v>1572</v>
      </c>
    </row>
    <row r="131" spans="1:8" x14ac:dyDescent="0.35">
      <c r="A131" s="1" t="s">
        <v>768</v>
      </c>
      <c r="B131" s="1" t="s">
        <v>769</v>
      </c>
      <c r="C131">
        <v>5.3E-3</v>
      </c>
      <c r="D131">
        <v>12567258</v>
      </c>
      <c r="E131">
        <v>1521346</v>
      </c>
      <c r="F131" s="1" t="s">
        <v>773</v>
      </c>
      <c r="G131">
        <v>2370000000</v>
      </c>
      <c r="H131" t="s">
        <v>1572</v>
      </c>
    </row>
    <row r="132" spans="1:8" x14ac:dyDescent="0.35">
      <c r="A132" s="1" t="s">
        <v>774</v>
      </c>
      <c r="B132" s="1" t="s">
        <v>775</v>
      </c>
      <c r="C132">
        <v>1.29E-2</v>
      </c>
      <c r="D132">
        <v>12556319</v>
      </c>
      <c r="E132">
        <v>2832253</v>
      </c>
      <c r="F132" s="1" t="s">
        <v>779</v>
      </c>
      <c r="G132">
        <v>974940000</v>
      </c>
      <c r="H132" t="s">
        <v>1572</v>
      </c>
    </row>
    <row r="133" spans="1:8" x14ac:dyDescent="0.35">
      <c r="A133" s="1" t="s">
        <v>780</v>
      </c>
      <c r="B133" s="1" t="s">
        <v>781</v>
      </c>
      <c r="C133">
        <v>2.5499999999999998E-2</v>
      </c>
      <c r="D133">
        <v>12573335</v>
      </c>
      <c r="E133">
        <v>6196914</v>
      </c>
      <c r="F133" s="1" t="s">
        <v>785</v>
      </c>
      <c r="G133">
        <v>493580000</v>
      </c>
      <c r="H133" t="s">
        <v>1572</v>
      </c>
    </row>
    <row r="134" spans="1:8" x14ac:dyDescent="0.35">
      <c r="A134" s="1" t="s">
        <v>791</v>
      </c>
      <c r="B134" s="1" t="s">
        <v>792</v>
      </c>
      <c r="C134">
        <v>6.9199999999999998E-2</v>
      </c>
      <c r="D134">
        <v>12435790</v>
      </c>
      <c r="E134">
        <v>1719441</v>
      </c>
      <c r="F134" s="1" t="s">
        <v>796</v>
      </c>
      <c r="G134">
        <v>179640000</v>
      </c>
      <c r="H134" t="s">
        <v>1572</v>
      </c>
    </row>
    <row r="135" spans="1:8" x14ac:dyDescent="0.35">
      <c r="A135" s="1" t="s">
        <v>797</v>
      </c>
      <c r="B135" s="1" t="s">
        <v>798</v>
      </c>
      <c r="C135">
        <v>5.5300000000000002E-2</v>
      </c>
      <c r="D135">
        <v>10049383</v>
      </c>
      <c r="E135">
        <v>1492</v>
      </c>
      <c r="F135" s="1" t="s">
        <v>802</v>
      </c>
      <c r="G135">
        <v>181750000</v>
      </c>
      <c r="H135" t="s">
        <v>1572</v>
      </c>
    </row>
    <row r="136" spans="1:8" x14ac:dyDescent="0.35">
      <c r="A136" s="1" t="s">
        <v>803</v>
      </c>
      <c r="B136" s="1" t="s">
        <v>804</v>
      </c>
      <c r="C136">
        <v>1.35E-2</v>
      </c>
      <c r="D136">
        <v>10029328</v>
      </c>
      <c r="E136">
        <v>25387118</v>
      </c>
      <c r="F136" s="1" t="s">
        <v>808</v>
      </c>
      <c r="G136">
        <v>743510000</v>
      </c>
      <c r="H136" t="s">
        <v>1572</v>
      </c>
    </row>
    <row r="137" spans="1:8" x14ac:dyDescent="0.35">
      <c r="A137" s="1" t="s">
        <v>809</v>
      </c>
      <c r="B137" s="1" t="s">
        <v>810</v>
      </c>
      <c r="C137">
        <v>0.12429999999999999</v>
      </c>
      <c r="D137">
        <v>10027388</v>
      </c>
      <c r="E137">
        <v>206188</v>
      </c>
      <c r="F137" s="1" t="s">
        <v>814</v>
      </c>
      <c r="G137">
        <v>80650000</v>
      </c>
      <c r="H137" t="s">
        <v>1572</v>
      </c>
    </row>
    <row r="138" spans="1:8" x14ac:dyDescent="0.35">
      <c r="A138" s="1" t="s">
        <v>815</v>
      </c>
      <c r="B138" s="1" t="s">
        <v>816</v>
      </c>
      <c r="C138">
        <v>2.2800000000000001E-2</v>
      </c>
      <c r="D138">
        <v>10015365</v>
      </c>
      <c r="E138">
        <v>5420695</v>
      </c>
      <c r="F138" s="1" t="s">
        <v>820</v>
      </c>
      <c r="G138">
        <v>438270000</v>
      </c>
      <c r="H138" t="s">
        <v>1572</v>
      </c>
    </row>
    <row r="139" spans="1:8" x14ac:dyDescent="0.35">
      <c r="A139" s="1" t="s">
        <v>821</v>
      </c>
      <c r="B139" s="1" t="s">
        <v>822</v>
      </c>
      <c r="C139">
        <v>3.04</v>
      </c>
      <c r="D139">
        <v>9989273</v>
      </c>
      <c r="E139">
        <v>2308942</v>
      </c>
      <c r="F139" s="1" t="s">
        <v>826</v>
      </c>
      <c r="G139">
        <v>3270000</v>
      </c>
      <c r="H139" t="s">
        <v>1572</v>
      </c>
    </row>
    <row r="140" spans="1:8" x14ac:dyDescent="0.35">
      <c r="A140" s="1" t="s">
        <v>827</v>
      </c>
      <c r="B140" s="1" t="s">
        <v>827</v>
      </c>
      <c r="C140">
        <v>0.22550000000000001</v>
      </c>
      <c r="D140">
        <v>9962766</v>
      </c>
      <c r="E140">
        <v>247</v>
      </c>
      <c r="F140" s="1" t="s">
        <v>831</v>
      </c>
      <c r="G140">
        <v>44160000</v>
      </c>
      <c r="H140" t="s">
        <v>1572</v>
      </c>
    </row>
    <row r="141" spans="1:8" x14ac:dyDescent="0.35">
      <c r="A141" s="1" t="s">
        <v>832</v>
      </c>
      <c r="B141" s="1" t="s">
        <v>833</v>
      </c>
      <c r="C141">
        <v>0.1021</v>
      </c>
      <c r="D141">
        <v>9959867</v>
      </c>
      <c r="E141">
        <v>207492</v>
      </c>
      <c r="F141" s="1" t="s">
        <v>837</v>
      </c>
      <c r="G141">
        <v>97490000</v>
      </c>
      <c r="H141" t="s">
        <v>1572</v>
      </c>
    </row>
    <row r="142" spans="1:8" x14ac:dyDescent="0.35">
      <c r="A142" s="1" t="s">
        <v>838</v>
      </c>
      <c r="B142" s="1" t="s">
        <v>838</v>
      </c>
      <c r="C142">
        <v>0.13700000000000001</v>
      </c>
      <c r="D142">
        <v>9940644</v>
      </c>
      <c r="E142">
        <v>5626294</v>
      </c>
      <c r="F142" s="1" t="s">
        <v>842</v>
      </c>
      <c r="G142">
        <v>72530000</v>
      </c>
      <c r="H142" t="s">
        <v>1572</v>
      </c>
    </row>
    <row r="143" spans="1:8" x14ac:dyDescent="0.35">
      <c r="A143" s="1" t="s">
        <v>843</v>
      </c>
      <c r="B143" s="1" t="s">
        <v>844</v>
      </c>
      <c r="C143">
        <v>2.63E-2</v>
      </c>
      <c r="D143">
        <v>9883568</v>
      </c>
      <c r="E143">
        <v>18345936</v>
      </c>
      <c r="F143" s="1" t="s">
        <v>848</v>
      </c>
      <c r="G143">
        <v>376020000</v>
      </c>
      <c r="H143" t="s">
        <v>1572</v>
      </c>
    </row>
    <row r="144" spans="1:8" x14ac:dyDescent="0.35">
      <c r="A144" s="1" t="s">
        <v>849</v>
      </c>
      <c r="B144" s="1" t="s">
        <v>850</v>
      </c>
      <c r="C144">
        <v>1</v>
      </c>
      <c r="D144">
        <v>9800517</v>
      </c>
      <c r="E144">
        <v>166324</v>
      </c>
      <c r="F144" s="1" t="s">
        <v>853</v>
      </c>
      <c r="G144">
        <v>9800000</v>
      </c>
      <c r="H144" t="s">
        <v>1572</v>
      </c>
    </row>
    <row r="145" spans="1:8" x14ac:dyDescent="0.35">
      <c r="A145" s="1" t="s">
        <v>860</v>
      </c>
      <c r="B145" s="1" t="s">
        <v>861</v>
      </c>
      <c r="C145">
        <v>1.03E-2</v>
      </c>
      <c r="D145">
        <v>9763941</v>
      </c>
      <c r="E145">
        <v>1426829</v>
      </c>
      <c r="F145" s="1" t="s">
        <v>865</v>
      </c>
      <c r="G145">
        <v>946590000</v>
      </c>
      <c r="H145" t="s">
        <v>1572</v>
      </c>
    </row>
    <row r="146" spans="1:8" x14ac:dyDescent="0.35">
      <c r="A146" s="1" t="s">
        <v>866</v>
      </c>
      <c r="B146" s="1" t="s">
        <v>867</v>
      </c>
      <c r="C146">
        <v>1.9199999999999998E-2</v>
      </c>
      <c r="D146">
        <v>9758424</v>
      </c>
      <c r="E146">
        <v>18325</v>
      </c>
      <c r="F146" s="1" t="s">
        <v>871</v>
      </c>
      <c r="G146">
        <v>508210000</v>
      </c>
      <c r="H146" t="s">
        <v>1572</v>
      </c>
    </row>
    <row r="147" spans="1:8" x14ac:dyDescent="0.35">
      <c r="A147" s="1" t="s">
        <v>872</v>
      </c>
      <c r="B147" s="1" t="s">
        <v>873</v>
      </c>
      <c r="C147">
        <v>5.1299999999999998E-2</v>
      </c>
      <c r="D147">
        <v>9693432</v>
      </c>
      <c r="E147">
        <v>4254486</v>
      </c>
      <c r="F147" s="1" t="s">
        <v>877</v>
      </c>
      <c r="G147">
        <v>188950000</v>
      </c>
      <c r="H147" t="s">
        <v>1572</v>
      </c>
    </row>
    <row r="148" spans="1:8" x14ac:dyDescent="0.35">
      <c r="A148" s="1" t="s">
        <v>878</v>
      </c>
      <c r="B148" s="1" t="s">
        <v>879</v>
      </c>
      <c r="C148">
        <v>2.8899999999999999E-2</v>
      </c>
      <c r="D148">
        <v>9632912</v>
      </c>
      <c r="E148">
        <v>3432304</v>
      </c>
      <c r="F148" s="1" t="s">
        <v>883</v>
      </c>
      <c r="G148">
        <v>333280000</v>
      </c>
      <c r="H148" t="s">
        <v>1572</v>
      </c>
    </row>
    <row r="149" spans="1:8" x14ac:dyDescent="0.35">
      <c r="A149" s="1" t="s">
        <v>884</v>
      </c>
      <c r="B149" s="1" t="s">
        <v>885</v>
      </c>
      <c r="C149">
        <v>2.9999999999999997E-4</v>
      </c>
      <c r="D149">
        <v>7622156</v>
      </c>
      <c r="E149">
        <v>1000628</v>
      </c>
      <c r="F149" s="1" t="s">
        <v>889</v>
      </c>
      <c r="G149">
        <v>22790000000</v>
      </c>
      <c r="H149" t="s">
        <v>1572</v>
      </c>
    </row>
    <row r="150" spans="1:8" x14ac:dyDescent="0.35">
      <c r="A150" s="1" t="s">
        <v>890</v>
      </c>
      <c r="B150" s="1" t="s">
        <v>891</v>
      </c>
      <c r="C150">
        <v>2.8199999999999999E-2</v>
      </c>
      <c r="D150">
        <v>7606709</v>
      </c>
      <c r="E150">
        <v>975171</v>
      </c>
      <c r="F150" s="1" t="s">
        <v>895</v>
      </c>
      <c r="G150">
        <v>269480000</v>
      </c>
      <c r="H150" t="s">
        <v>1572</v>
      </c>
    </row>
    <row r="151" spans="1:8" x14ac:dyDescent="0.35">
      <c r="A151" s="1" t="s">
        <v>896</v>
      </c>
      <c r="B151" s="1" t="s">
        <v>897</v>
      </c>
      <c r="C151">
        <v>8.0000000000000004E-4</v>
      </c>
      <c r="D151">
        <v>7531508</v>
      </c>
      <c r="E151">
        <v>189566</v>
      </c>
      <c r="F151" s="1" t="s">
        <v>901</v>
      </c>
      <c r="G151">
        <v>8880000000</v>
      </c>
      <c r="H151" t="s">
        <v>1572</v>
      </c>
    </row>
    <row r="152" spans="1:8" x14ac:dyDescent="0.35">
      <c r="A152" s="1" t="s">
        <v>902</v>
      </c>
      <c r="B152" s="1" t="s">
        <v>903</v>
      </c>
      <c r="C152">
        <v>1.2999999999999999E-2</v>
      </c>
      <c r="D152">
        <v>7501703</v>
      </c>
      <c r="E152">
        <v>4979361</v>
      </c>
      <c r="F152" s="1" t="s">
        <v>906</v>
      </c>
      <c r="G152">
        <v>576130000</v>
      </c>
      <c r="H152" t="s">
        <v>1572</v>
      </c>
    </row>
    <row r="153" spans="1:8" x14ac:dyDescent="0.35">
      <c r="A153" s="1" t="s">
        <v>912</v>
      </c>
      <c r="B153" s="1" t="s">
        <v>913</v>
      </c>
      <c r="C153">
        <v>8.5099999999999995E-2</v>
      </c>
      <c r="D153">
        <v>7490664</v>
      </c>
      <c r="E153">
        <v>2005182</v>
      </c>
      <c r="F153" s="1" t="s">
        <v>917</v>
      </c>
      <c r="G153">
        <v>88020000</v>
      </c>
      <c r="H153" t="s">
        <v>1572</v>
      </c>
    </row>
    <row r="154" spans="1:8" x14ac:dyDescent="0.35">
      <c r="A154" s="1" t="s">
        <v>918</v>
      </c>
      <c r="B154" s="1" t="s">
        <v>919</v>
      </c>
      <c r="C154">
        <v>0.48980000000000001</v>
      </c>
      <c r="D154">
        <v>7453837</v>
      </c>
      <c r="E154">
        <v>2792207</v>
      </c>
      <c r="F154" s="1" t="s">
        <v>923</v>
      </c>
      <c r="G154">
        <v>15210000</v>
      </c>
      <c r="H154" t="s">
        <v>1572</v>
      </c>
    </row>
    <row r="155" spans="1:8" x14ac:dyDescent="0.35">
      <c r="A155" s="1" t="s">
        <v>924</v>
      </c>
      <c r="B155" s="1" t="s">
        <v>925</v>
      </c>
      <c r="C155">
        <v>7.4000000000000003E-3</v>
      </c>
      <c r="D155">
        <v>7442214</v>
      </c>
      <c r="E155">
        <v>1311385</v>
      </c>
      <c r="F155" s="1" t="s">
        <v>121</v>
      </c>
      <c r="G155">
        <v>1000000000</v>
      </c>
      <c r="H155" t="s">
        <v>1572</v>
      </c>
    </row>
    <row r="156" spans="1:8" x14ac:dyDescent="0.35">
      <c r="A156" s="1" t="s">
        <v>929</v>
      </c>
      <c r="B156" s="1" t="s">
        <v>930</v>
      </c>
      <c r="C156">
        <v>2.0000000000000001E-4</v>
      </c>
      <c r="D156">
        <v>7430120</v>
      </c>
      <c r="E156">
        <v>59825</v>
      </c>
      <c r="F156" s="1" t="s">
        <v>934</v>
      </c>
      <c r="G156">
        <v>44700000000</v>
      </c>
      <c r="H156" t="s">
        <v>1572</v>
      </c>
    </row>
    <row r="157" spans="1:8" x14ac:dyDescent="0.35">
      <c r="A157" s="1" t="s">
        <v>935</v>
      </c>
      <c r="B157" s="1" t="s">
        <v>936</v>
      </c>
      <c r="C157">
        <v>1.34E-2</v>
      </c>
      <c r="D157">
        <v>7415834</v>
      </c>
      <c r="E157">
        <v>127333</v>
      </c>
      <c r="F157" s="1" t="s">
        <v>940</v>
      </c>
      <c r="G157">
        <v>553360000</v>
      </c>
      <c r="H157" t="s">
        <v>1572</v>
      </c>
    </row>
    <row r="158" spans="1:8" x14ac:dyDescent="0.35">
      <c r="A158" s="1" t="s">
        <v>941</v>
      </c>
      <c r="B158" s="1" t="s">
        <v>942</v>
      </c>
      <c r="C158">
        <v>0.5605</v>
      </c>
      <c r="D158">
        <v>7387552</v>
      </c>
      <c r="E158">
        <v>4572811</v>
      </c>
      <c r="F158" s="1" t="s">
        <v>946</v>
      </c>
      <c r="G158">
        <v>13170000</v>
      </c>
      <c r="H158" t="s">
        <v>1572</v>
      </c>
    </row>
    <row r="159" spans="1:8" x14ac:dyDescent="0.35">
      <c r="A159" s="1" t="s">
        <v>947</v>
      </c>
      <c r="B159" s="1" t="s">
        <v>948</v>
      </c>
      <c r="C159">
        <v>3.0800000000000001E-2</v>
      </c>
      <c r="D159">
        <v>7385349</v>
      </c>
      <c r="E159">
        <v>663168</v>
      </c>
      <c r="F159" s="1" t="s">
        <v>952</v>
      </c>
      <c r="G159">
        <v>239460000</v>
      </c>
      <c r="H159" t="s">
        <v>1572</v>
      </c>
    </row>
    <row r="160" spans="1:8" x14ac:dyDescent="0.35">
      <c r="A160" s="1" t="s">
        <v>953</v>
      </c>
      <c r="B160" s="1" t="s">
        <v>953</v>
      </c>
      <c r="C160">
        <v>0</v>
      </c>
      <c r="D160">
        <v>7370851</v>
      </c>
      <c r="E160">
        <v>1583320</v>
      </c>
      <c r="F160" s="1" t="s">
        <v>957</v>
      </c>
      <c r="G160">
        <v>411670000000</v>
      </c>
      <c r="H160" t="s">
        <v>1572</v>
      </c>
    </row>
    <row r="161" spans="1:8" x14ac:dyDescent="0.35">
      <c r="A161" s="1" t="s">
        <v>958</v>
      </c>
      <c r="B161" s="1" t="s">
        <v>958</v>
      </c>
      <c r="C161">
        <v>7.1599999999999997E-2</v>
      </c>
      <c r="D161">
        <v>7356492</v>
      </c>
      <c r="E161">
        <v>3015870</v>
      </c>
      <c r="F161" s="1" t="s">
        <v>962</v>
      </c>
      <c r="G161">
        <v>102680000</v>
      </c>
      <c r="H161" t="s">
        <v>1572</v>
      </c>
    </row>
    <row r="162" spans="1:8" x14ac:dyDescent="0.35">
      <c r="A162" s="1" t="s">
        <v>963</v>
      </c>
      <c r="B162" s="1" t="s">
        <v>964</v>
      </c>
      <c r="C162">
        <v>0.16600000000000001</v>
      </c>
      <c r="D162">
        <v>5777203</v>
      </c>
      <c r="E162">
        <v>407424</v>
      </c>
      <c r="F162" s="1" t="s">
        <v>968</v>
      </c>
      <c r="G162">
        <v>34790000</v>
      </c>
      <c r="H162" t="s">
        <v>1572</v>
      </c>
    </row>
    <row r="163" spans="1:8" x14ac:dyDescent="0.35">
      <c r="A163" s="1" t="s">
        <v>969</v>
      </c>
      <c r="B163" s="1" t="s">
        <v>970</v>
      </c>
      <c r="C163">
        <v>5.6500000000000002E-2</v>
      </c>
      <c r="D163">
        <v>5771980</v>
      </c>
      <c r="E163">
        <v>274469</v>
      </c>
      <c r="F163" s="1" t="s">
        <v>974</v>
      </c>
      <c r="G163">
        <v>884840000000</v>
      </c>
      <c r="H163" t="s">
        <v>1572</v>
      </c>
    </row>
    <row r="164" spans="1:8" x14ac:dyDescent="0.35">
      <c r="A164" s="1" t="s">
        <v>975</v>
      </c>
      <c r="B164" s="1" t="s">
        <v>976</v>
      </c>
      <c r="C164">
        <v>8.3000000000000001E-3</v>
      </c>
      <c r="D164">
        <v>5766691</v>
      </c>
      <c r="E164">
        <v>11932</v>
      </c>
      <c r="F164" s="1" t="s">
        <v>980</v>
      </c>
      <c r="G164">
        <v>690750000</v>
      </c>
      <c r="H164" t="s">
        <v>1572</v>
      </c>
    </row>
    <row r="165" spans="1:8" x14ac:dyDescent="0.35">
      <c r="A165" s="1" t="s">
        <v>981</v>
      </c>
      <c r="B165" s="1" t="s">
        <v>982</v>
      </c>
      <c r="C165">
        <v>2.8E-3</v>
      </c>
      <c r="D165">
        <v>5761661</v>
      </c>
      <c r="E165">
        <v>1787147</v>
      </c>
      <c r="F165" s="1" t="s">
        <v>986</v>
      </c>
      <c r="G165">
        <v>2040000000</v>
      </c>
      <c r="H165" t="s">
        <v>1572</v>
      </c>
    </row>
    <row r="166" spans="1:8" x14ac:dyDescent="0.35">
      <c r="A166" s="1" t="s">
        <v>987</v>
      </c>
      <c r="B166" s="1" t="s">
        <v>988</v>
      </c>
      <c r="C166">
        <v>8.4199999999999997E-2</v>
      </c>
      <c r="D166">
        <v>5753639</v>
      </c>
      <c r="E166">
        <v>108666</v>
      </c>
      <c r="F166" s="1" t="s">
        <v>992</v>
      </c>
      <c r="G166">
        <v>68300000</v>
      </c>
      <c r="H166" t="s">
        <v>1572</v>
      </c>
    </row>
    <row r="167" spans="1:8" x14ac:dyDescent="0.35">
      <c r="A167" s="1" t="s">
        <v>993</v>
      </c>
      <c r="B167" s="1" t="s">
        <v>994</v>
      </c>
      <c r="C167">
        <v>0.33179999999999998</v>
      </c>
      <c r="D167">
        <v>5733753</v>
      </c>
      <c r="E167">
        <v>4543</v>
      </c>
      <c r="F167" s="1" t="s">
        <v>998</v>
      </c>
      <c r="G167">
        <v>17270000</v>
      </c>
      <c r="H167" t="s">
        <v>1572</v>
      </c>
    </row>
    <row r="168" spans="1:8" x14ac:dyDescent="0.35">
      <c r="A168" s="1" t="s">
        <v>999</v>
      </c>
      <c r="B168" s="1" t="s">
        <v>999</v>
      </c>
      <c r="C168">
        <v>1.72E-2</v>
      </c>
      <c r="D168">
        <v>5682023</v>
      </c>
      <c r="E168">
        <v>288951</v>
      </c>
      <c r="F168" s="1" t="s">
        <v>1003</v>
      </c>
      <c r="G168">
        <v>329380000</v>
      </c>
      <c r="H168" t="s">
        <v>1572</v>
      </c>
    </row>
    <row r="169" spans="1:8" x14ac:dyDescent="0.35">
      <c r="A169" s="1" t="s">
        <v>1004</v>
      </c>
      <c r="B169" s="1" t="s">
        <v>1005</v>
      </c>
      <c r="C169">
        <v>2E-3</v>
      </c>
      <c r="D169">
        <v>5659011</v>
      </c>
      <c r="E169">
        <v>100203</v>
      </c>
      <c r="F169" s="1" t="s">
        <v>1009</v>
      </c>
      <c r="G169">
        <v>2800000000</v>
      </c>
      <c r="H169" t="s">
        <v>1572</v>
      </c>
    </row>
    <row r="170" spans="1:8" x14ac:dyDescent="0.35">
      <c r="A170" s="1" t="s">
        <v>1010</v>
      </c>
      <c r="B170" s="1" t="s">
        <v>1011</v>
      </c>
      <c r="C170">
        <v>1.1299999999999999E-2</v>
      </c>
      <c r="D170">
        <v>5646848</v>
      </c>
      <c r="E170">
        <v>571373</v>
      </c>
      <c r="F170" s="1" t="s">
        <v>1015</v>
      </c>
      <c r="G170">
        <v>500000000</v>
      </c>
      <c r="H170" t="s">
        <v>1572</v>
      </c>
    </row>
    <row r="171" spans="1:8" x14ac:dyDescent="0.35">
      <c r="A171" s="1" t="s">
        <v>1016</v>
      </c>
      <c r="B171" s="1" t="s">
        <v>1017</v>
      </c>
      <c r="C171">
        <v>8.5000000000000006E-3</v>
      </c>
      <c r="D171">
        <v>5643737</v>
      </c>
      <c r="E171">
        <v>93060</v>
      </c>
      <c r="F171" s="1" t="s">
        <v>1021</v>
      </c>
      <c r="G171">
        <v>663490000</v>
      </c>
      <c r="H171" t="s">
        <v>1572</v>
      </c>
    </row>
    <row r="172" spans="1:8" x14ac:dyDescent="0.35">
      <c r="A172" s="1" t="s">
        <v>1022</v>
      </c>
      <c r="B172" s="1" t="s">
        <v>1023</v>
      </c>
      <c r="C172">
        <v>0.42499999999999999</v>
      </c>
      <c r="D172">
        <v>5620978</v>
      </c>
      <c r="E172">
        <v>2299164</v>
      </c>
      <c r="F172" s="1" t="s">
        <v>1027</v>
      </c>
      <c r="G172">
        <v>13220000</v>
      </c>
      <c r="H172" t="s">
        <v>1572</v>
      </c>
    </row>
    <row r="173" spans="1:8" x14ac:dyDescent="0.35">
      <c r="A173" s="1" t="s">
        <v>1028</v>
      </c>
      <c r="B173" s="1" t="s">
        <v>1029</v>
      </c>
      <c r="C173">
        <v>7.9000000000000008E-3</v>
      </c>
      <c r="D173">
        <v>5596291</v>
      </c>
      <c r="E173">
        <v>5108168</v>
      </c>
      <c r="F173" s="1" t="s">
        <v>1033</v>
      </c>
      <c r="G173">
        <v>704060000</v>
      </c>
      <c r="H173" t="s">
        <v>1572</v>
      </c>
    </row>
    <row r="174" spans="1:8" x14ac:dyDescent="0.35">
      <c r="A174" s="1" t="s">
        <v>1034</v>
      </c>
      <c r="B174" s="1" t="s">
        <v>1035</v>
      </c>
      <c r="C174">
        <v>2.6200000000000001E-2</v>
      </c>
      <c r="D174">
        <v>5589547</v>
      </c>
      <c r="E174">
        <v>439672</v>
      </c>
      <c r="F174" s="1" t="s">
        <v>1039</v>
      </c>
      <c r="G174">
        <v>213140000</v>
      </c>
      <c r="H174" t="s">
        <v>1572</v>
      </c>
    </row>
    <row r="175" spans="1:8" x14ac:dyDescent="0.35">
      <c r="A175" s="1" t="s">
        <v>1040</v>
      </c>
      <c r="B175" s="1" t="s">
        <v>1041</v>
      </c>
      <c r="C175">
        <v>1.5</v>
      </c>
      <c r="D175">
        <v>5570378</v>
      </c>
      <c r="E175">
        <v>43131</v>
      </c>
      <c r="F175" s="1" t="s">
        <v>1045</v>
      </c>
      <c r="G175">
        <v>3680000</v>
      </c>
      <c r="H175" t="s">
        <v>1572</v>
      </c>
    </row>
    <row r="176" spans="1:8" x14ac:dyDescent="0.35">
      <c r="A176" s="1" t="s">
        <v>1046</v>
      </c>
      <c r="B176" s="1" t="s">
        <v>1047</v>
      </c>
      <c r="C176">
        <v>2.24E-2</v>
      </c>
      <c r="D176">
        <v>4380039</v>
      </c>
      <c r="E176">
        <v>91581</v>
      </c>
      <c r="F176" s="1" t="s">
        <v>1051</v>
      </c>
      <c r="G176">
        <v>195420000</v>
      </c>
      <c r="H176" t="s">
        <v>1572</v>
      </c>
    </row>
    <row r="177" spans="1:8" x14ac:dyDescent="0.35">
      <c r="A177" s="1" t="s">
        <v>1052</v>
      </c>
      <c r="B177" s="1" t="s">
        <v>1053</v>
      </c>
      <c r="C177">
        <v>4.3E-3</v>
      </c>
      <c r="D177">
        <v>4328225</v>
      </c>
      <c r="E177">
        <v>836876</v>
      </c>
      <c r="F177" s="1" t="s">
        <v>1057</v>
      </c>
      <c r="G177">
        <v>999950000</v>
      </c>
      <c r="H177" t="s">
        <v>1572</v>
      </c>
    </row>
    <row r="178" spans="1:8" x14ac:dyDescent="0.35">
      <c r="A178" s="1" t="s">
        <v>1058</v>
      </c>
      <c r="B178" s="1" t="s">
        <v>1058</v>
      </c>
      <c r="C178">
        <v>3.5000000000000001E-3</v>
      </c>
      <c r="D178">
        <v>4296555</v>
      </c>
      <c r="E178">
        <v>1384270</v>
      </c>
      <c r="F178" s="1" t="s">
        <v>1062</v>
      </c>
      <c r="G178">
        <v>1220000000</v>
      </c>
      <c r="H178" t="s">
        <v>1572</v>
      </c>
    </row>
    <row r="179" spans="1:8" x14ac:dyDescent="0.35">
      <c r="A179" s="1" t="s">
        <v>1063</v>
      </c>
      <c r="B179" s="1" t="s">
        <v>1064</v>
      </c>
      <c r="C179">
        <v>6.9999999999999999E-4</v>
      </c>
      <c r="D179">
        <v>4354066</v>
      </c>
      <c r="E179">
        <v>76258</v>
      </c>
      <c r="F179" s="1" t="s">
        <v>1068</v>
      </c>
      <c r="G179">
        <v>6410000000</v>
      </c>
      <c r="H179" t="s">
        <v>1572</v>
      </c>
    </row>
    <row r="180" spans="1:8" x14ac:dyDescent="0.35">
      <c r="A180" s="1" t="s">
        <v>1069</v>
      </c>
      <c r="B180" s="1" t="s">
        <v>1070</v>
      </c>
      <c r="C180">
        <v>1.23E-2</v>
      </c>
      <c r="D180">
        <v>4287822</v>
      </c>
      <c r="E180">
        <v>957517</v>
      </c>
      <c r="F180" s="1" t="s">
        <v>1074</v>
      </c>
      <c r="G180">
        <v>347480000</v>
      </c>
      <c r="H180" t="s">
        <v>1572</v>
      </c>
    </row>
    <row r="181" spans="1:8" x14ac:dyDescent="0.35">
      <c r="A181" s="1" t="s">
        <v>1075</v>
      </c>
      <c r="B181" s="1" t="s">
        <v>879</v>
      </c>
      <c r="C181">
        <v>1.1900000000000001E-2</v>
      </c>
      <c r="D181">
        <v>4257072</v>
      </c>
      <c r="E181">
        <v>400525</v>
      </c>
      <c r="F181" s="1" t="s">
        <v>1079</v>
      </c>
      <c r="G181">
        <v>358140000</v>
      </c>
      <c r="H181" t="s">
        <v>1572</v>
      </c>
    </row>
    <row r="182" spans="1:8" x14ac:dyDescent="0.35">
      <c r="A182" s="1" t="s">
        <v>1080</v>
      </c>
      <c r="B182" s="1" t="s">
        <v>1081</v>
      </c>
      <c r="C182">
        <v>7.5899999999999995E-2</v>
      </c>
      <c r="D182">
        <v>4250788</v>
      </c>
      <c r="E182">
        <v>196774617</v>
      </c>
      <c r="F182" s="1" t="s">
        <v>1085</v>
      </c>
      <c r="G182">
        <v>56000000</v>
      </c>
      <c r="H182" t="s">
        <v>1572</v>
      </c>
    </row>
    <row r="183" spans="1:8" x14ac:dyDescent="0.35">
      <c r="A183" s="1" t="s">
        <v>1086</v>
      </c>
      <c r="B183" s="1" t="s">
        <v>1087</v>
      </c>
      <c r="C183">
        <v>7.1000000000000004E-3</v>
      </c>
      <c r="D183">
        <v>4248114</v>
      </c>
      <c r="E183">
        <v>88184</v>
      </c>
      <c r="F183" s="1" t="s">
        <v>1091</v>
      </c>
      <c r="G183">
        <v>598540000</v>
      </c>
      <c r="H183" t="s">
        <v>1572</v>
      </c>
    </row>
    <row r="184" spans="1:8" x14ac:dyDescent="0.35">
      <c r="A184" s="1" t="s">
        <v>1092</v>
      </c>
      <c r="B184" s="1" t="s">
        <v>1093</v>
      </c>
      <c r="C184">
        <v>4.0000000000000002E-4</v>
      </c>
      <c r="D184">
        <v>4242300</v>
      </c>
      <c r="E184">
        <v>4868999</v>
      </c>
      <c r="F184" s="1" t="s">
        <v>1097</v>
      </c>
      <c r="G184">
        <v>10800000000</v>
      </c>
      <c r="H184" t="s">
        <v>1572</v>
      </c>
    </row>
    <row r="185" spans="1:8" x14ac:dyDescent="0.35">
      <c r="A185" s="1" t="s">
        <v>1098</v>
      </c>
      <c r="B185" s="1" t="s">
        <v>1099</v>
      </c>
      <c r="C185">
        <v>4.7999999999999996E-3</v>
      </c>
      <c r="D185">
        <v>4239610</v>
      </c>
      <c r="E185">
        <v>961602</v>
      </c>
      <c r="F185" s="1" t="s">
        <v>1103</v>
      </c>
      <c r="G185">
        <v>878820000</v>
      </c>
      <c r="H185" t="s">
        <v>1572</v>
      </c>
    </row>
    <row r="186" spans="1:8" x14ac:dyDescent="0.35">
      <c r="A186" s="1" t="s">
        <v>1104</v>
      </c>
      <c r="B186" s="1" t="s">
        <v>1105</v>
      </c>
      <c r="C186">
        <v>1.7100000000000001E-2</v>
      </c>
      <c r="D186">
        <v>4238819</v>
      </c>
      <c r="E186">
        <v>171142</v>
      </c>
      <c r="F186" s="1" t="s">
        <v>1109</v>
      </c>
      <c r="G186">
        <v>247220000</v>
      </c>
      <c r="H186" t="s">
        <v>1572</v>
      </c>
    </row>
    <row r="187" spans="1:8" x14ac:dyDescent="0.35">
      <c r="A187" s="1" t="s">
        <v>1110</v>
      </c>
      <c r="B187" s="1" t="s">
        <v>1111</v>
      </c>
      <c r="C187">
        <v>1.8E-3</v>
      </c>
      <c r="D187">
        <v>4222800</v>
      </c>
      <c r="E187">
        <v>1525440</v>
      </c>
      <c r="F187" s="1" t="s">
        <v>1115</v>
      </c>
      <c r="G187">
        <v>2380000000</v>
      </c>
      <c r="H187" t="s">
        <v>1572</v>
      </c>
    </row>
    <row r="188" spans="1:8" x14ac:dyDescent="0.35">
      <c r="A188" s="1" t="s">
        <v>1116</v>
      </c>
      <c r="B188" s="1" t="s">
        <v>1117</v>
      </c>
      <c r="C188">
        <v>2.7199999999999998E-2</v>
      </c>
      <c r="D188">
        <v>4217750</v>
      </c>
      <c r="E188">
        <v>217398</v>
      </c>
      <c r="F188" s="1" t="s">
        <v>1121</v>
      </c>
      <c r="G188">
        <v>155000000</v>
      </c>
      <c r="H188" t="s">
        <v>1572</v>
      </c>
    </row>
    <row r="189" spans="1:8" x14ac:dyDescent="0.35">
      <c r="A189" s="1" t="s">
        <v>1122</v>
      </c>
      <c r="B189" s="1" t="s">
        <v>1123</v>
      </c>
      <c r="C189">
        <v>0.42099999999999999</v>
      </c>
      <c r="D189">
        <v>4208051</v>
      </c>
      <c r="E189">
        <v>268933</v>
      </c>
      <c r="F189" s="1" t="s">
        <v>1127</v>
      </c>
      <c r="G189">
        <v>9990000</v>
      </c>
      <c r="H189" t="s">
        <v>1572</v>
      </c>
    </row>
    <row r="190" spans="1:8" x14ac:dyDescent="0.35">
      <c r="A190" s="1" t="s">
        <v>1128</v>
      </c>
      <c r="B190" s="1" t="s">
        <v>1129</v>
      </c>
      <c r="C190">
        <v>1E-4</v>
      </c>
      <c r="D190">
        <v>3273442</v>
      </c>
      <c r="E190">
        <v>77548</v>
      </c>
      <c r="F190" s="1" t="s">
        <v>1133</v>
      </c>
      <c r="G190">
        <v>34310000000.000004</v>
      </c>
      <c r="H190" t="s">
        <v>1572</v>
      </c>
    </row>
    <row r="191" spans="1:8" x14ac:dyDescent="0.35">
      <c r="A191" s="1" t="s">
        <v>1134</v>
      </c>
      <c r="B191" s="1" t="s">
        <v>1135</v>
      </c>
      <c r="C191">
        <v>5.4000000000000003E-3</v>
      </c>
      <c r="D191">
        <v>3264324</v>
      </c>
      <c r="E191">
        <v>90792</v>
      </c>
      <c r="F191" s="1" t="s">
        <v>1139</v>
      </c>
      <c r="G191">
        <v>608080000</v>
      </c>
      <c r="H191" t="s">
        <v>1572</v>
      </c>
    </row>
    <row r="192" spans="1:8" x14ac:dyDescent="0.35">
      <c r="A192" s="1" t="s">
        <v>1140</v>
      </c>
      <c r="B192" s="1" t="s">
        <v>1141</v>
      </c>
      <c r="C192">
        <v>4.0000000000000002E-4</v>
      </c>
      <c r="D192">
        <v>3246931</v>
      </c>
      <c r="E192">
        <v>60673</v>
      </c>
      <c r="F192" s="1" t="s">
        <v>1145</v>
      </c>
      <c r="G192">
        <v>8790000000</v>
      </c>
      <c r="H192" t="s">
        <v>1572</v>
      </c>
    </row>
    <row r="193" spans="1:8" x14ac:dyDescent="0.35">
      <c r="A193" s="1" t="s">
        <v>1146</v>
      </c>
      <c r="B193" s="1" t="s">
        <v>1147</v>
      </c>
      <c r="C193">
        <v>1.17</v>
      </c>
      <c r="D193">
        <v>3235574</v>
      </c>
      <c r="E193">
        <v>6206</v>
      </c>
      <c r="F193" s="1" t="s">
        <v>1151</v>
      </c>
      <c r="G193">
        <v>2760000</v>
      </c>
      <c r="H193" t="s">
        <v>1572</v>
      </c>
    </row>
    <row r="194" spans="1:8" x14ac:dyDescent="0.35">
      <c r="A194" s="1" t="s">
        <v>1152</v>
      </c>
      <c r="B194" s="1" t="s">
        <v>1153</v>
      </c>
      <c r="C194">
        <v>4.4000000000000003E-3</v>
      </c>
      <c r="D194">
        <v>3231631</v>
      </c>
      <c r="E194">
        <v>22713</v>
      </c>
      <c r="F194" s="1" t="s">
        <v>1157</v>
      </c>
      <c r="G194">
        <v>735000000</v>
      </c>
      <c r="H194" t="s">
        <v>1572</v>
      </c>
    </row>
    <row r="195" spans="1:8" x14ac:dyDescent="0.35">
      <c r="A195" s="1" t="s">
        <v>1158</v>
      </c>
      <c r="B195" s="1" t="s">
        <v>1159</v>
      </c>
      <c r="C195">
        <v>2.9999999999999997E-4</v>
      </c>
      <c r="D195">
        <v>3224365</v>
      </c>
      <c r="E195">
        <v>90</v>
      </c>
      <c r="F195" s="1" t="s">
        <v>351</v>
      </c>
      <c r="G195">
        <v>10000000000</v>
      </c>
      <c r="H195" t="s">
        <v>1572</v>
      </c>
    </row>
    <row r="196" spans="1:8" x14ac:dyDescent="0.35">
      <c r="A196" s="1" t="s">
        <v>1163</v>
      </c>
      <c r="B196" s="1" t="s">
        <v>1164</v>
      </c>
      <c r="C196">
        <v>6.1999999999999998E-3</v>
      </c>
      <c r="D196">
        <v>3220001</v>
      </c>
      <c r="E196">
        <v>148404</v>
      </c>
      <c r="F196" s="1" t="s">
        <v>1168</v>
      </c>
      <c r="G196">
        <v>521850000</v>
      </c>
      <c r="H196" t="s">
        <v>1572</v>
      </c>
    </row>
    <row r="197" spans="1:8" x14ac:dyDescent="0.35">
      <c r="A197" s="1" t="s">
        <v>1169</v>
      </c>
      <c r="B197" s="1" t="s">
        <v>1170</v>
      </c>
      <c r="C197">
        <v>0.45529999999999998</v>
      </c>
      <c r="D197">
        <v>3213497</v>
      </c>
      <c r="E197">
        <v>109259</v>
      </c>
      <c r="F197" s="1" t="s">
        <v>1174</v>
      </c>
      <c r="G197">
        <v>7050000</v>
      </c>
      <c r="H197" t="s">
        <v>1572</v>
      </c>
    </row>
    <row r="198" spans="1:8" x14ac:dyDescent="0.35">
      <c r="A198" s="1" t="s">
        <v>1175</v>
      </c>
      <c r="B198" s="1" t="s">
        <v>1176</v>
      </c>
      <c r="C198">
        <v>2.0000000000000001E-4</v>
      </c>
      <c r="D198">
        <v>3210880</v>
      </c>
      <c r="E198">
        <v>116467</v>
      </c>
      <c r="F198" s="1" t="s">
        <v>1180</v>
      </c>
      <c r="G198">
        <v>18400000000</v>
      </c>
      <c r="H198" t="s">
        <v>1572</v>
      </c>
    </row>
    <row r="199" spans="1:8" x14ac:dyDescent="0.35">
      <c r="A199" s="1" t="s">
        <v>1181</v>
      </c>
      <c r="B199" s="1" t="s">
        <v>1182</v>
      </c>
      <c r="C199">
        <v>8.7599999999999997E-2</v>
      </c>
      <c r="D199">
        <v>3203582</v>
      </c>
      <c r="E199">
        <v>331042</v>
      </c>
      <c r="F199" s="1" t="s">
        <v>1186</v>
      </c>
      <c r="G199">
        <v>420680000000000</v>
      </c>
      <c r="H199" t="s">
        <v>1572</v>
      </c>
    </row>
    <row r="200" spans="1:8" x14ac:dyDescent="0.35">
      <c r="A200" s="1" t="s">
        <v>1187</v>
      </c>
      <c r="B200" s="1" t="s">
        <v>1188</v>
      </c>
      <c r="C200">
        <v>1.6199999999999999E-2</v>
      </c>
      <c r="D200">
        <v>3168914</v>
      </c>
      <c r="E200">
        <v>3384846</v>
      </c>
      <c r="F200" s="1" t="s">
        <v>1192</v>
      </c>
      <c r="G200">
        <v>196070000</v>
      </c>
      <c r="H200" t="s">
        <v>1572</v>
      </c>
    </row>
    <row r="201" spans="1:8" x14ac:dyDescent="0.35">
      <c r="A201" s="1" t="s">
        <v>1198</v>
      </c>
      <c r="B201" s="1" t="s">
        <v>1199</v>
      </c>
      <c r="C201">
        <v>8.2000000000000007E-3</v>
      </c>
      <c r="D201">
        <v>3142220</v>
      </c>
      <c r="E201">
        <v>189339</v>
      </c>
      <c r="F201" s="1" t="s">
        <v>1203</v>
      </c>
      <c r="G201">
        <v>385370000</v>
      </c>
      <c r="H201" t="s">
        <v>1572</v>
      </c>
    </row>
    <row r="202" spans="1:8" x14ac:dyDescent="0.35">
      <c r="A202" s="1" t="s">
        <v>1204</v>
      </c>
      <c r="B202" s="1" t="s">
        <v>1205</v>
      </c>
      <c r="C202">
        <v>6.4000000000000003E-3</v>
      </c>
      <c r="D202">
        <v>3142839</v>
      </c>
      <c r="E202">
        <v>549476</v>
      </c>
      <c r="F202" s="1" t="s">
        <v>1209</v>
      </c>
      <c r="G202">
        <v>494590000</v>
      </c>
      <c r="H202" t="s">
        <v>1572</v>
      </c>
    </row>
    <row r="203" spans="1:8" x14ac:dyDescent="0.35">
      <c r="A203" s="1" t="s">
        <v>1210</v>
      </c>
      <c r="B203" s="1" t="s">
        <v>1211</v>
      </c>
      <c r="C203">
        <v>1.66E-2</v>
      </c>
      <c r="D203">
        <v>2591703</v>
      </c>
      <c r="E203">
        <v>1053142</v>
      </c>
      <c r="F203" s="1" t="s">
        <v>1215</v>
      </c>
      <c r="G203">
        <v>155690000</v>
      </c>
      <c r="H203" t="s">
        <v>1572</v>
      </c>
    </row>
    <row r="204" spans="1:8" x14ac:dyDescent="0.35">
      <c r="A204" s="1" t="s">
        <v>1216</v>
      </c>
      <c r="B204" s="1" t="s">
        <v>1217</v>
      </c>
      <c r="C204">
        <v>2.5999999999999999E-3</v>
      </c>
      <c r="D204">
        <v>2600548</v>
      </c>
      <c r="E204">
        <v>1628387</v>
      </c>
      <c r="F204" s="1" t="s">
        <v>1221</v>
      </c>
      <c r="G204">
        <v>992240000</v>
      </c>
      <c r="H204" t="s">
        <v>1572</v>
      </c>
    </row>
    <row r="205" spans="1:8" x14ac:dyDescent="0.35">
      <c r="A205" s="1" t="s">
        <v>1222</v>
      </c>
      <c r="B205" s="1" t="s">
        <v>1223</v>
      </c>
      <c r="C205">
        <v>2.5999999999999999E-3</v>
      </c>
      <c r="D205">
        <v>2572838</v>
      </c>
      <c r="E205">
        <v>3482250</v>
      </c>
      <c r="F205" s="1" t="s">
        <v>1227</v>
      </c>
      <c r="G205">
        <v>999930000</v>
      </c>
      <c r="H205" t="s">
        <v>1572</v>
      </c>
    </row>
    <row r="206" spans="1:8" x14ac:dyDescent="0.35">
      <c r="A206" s="1" t="s">
        <v>1228</v>
      </c>
      <c r="B206" s="1" t="s">
        <v>1229</v>
      </c>
      <c r="C206">
        <v>5.8999999999999999E-3</v>
      </c>
      <c r="D206">
        <v>2572273</v>
      </c>
      <c r="E206">
        <v>3294327</v>
      </c>
      <c r="F206" s="1" t="s">
        <v>1233</v>
      </c>
      <c r="G206">
        <v>433340000</v>
      </c>
      <c r="H206" t="s">
        <v>1572</v>
      </c>
    </row>
    <row r="207" spans="1:8" x14ac:dyDescent="0.35">
      <c r="A207" s="1" t="s">
        <v>1234</v>
      </c>
      <c r="B207" s="1" t="s">
        <v>1235</v>
      </c>
      <c r="C207">
        <v>5.4999999999999997E-3</v>
      </c>
      <c r="D207">
        <v>2571138</v>
      </c>
      <c r="E207">
        <v>346533</v>
      </c>
      <c r="F207" s="1" t="s">
        <v>1239</v>
      </c>
      <c r="G207">
        <v>464390000</v>
      </c>
      <c r="H207" t="s">
        <v>1572</v>
      </c>
    </row>
    <row r="208" spans="1:8" x14ac:dyDescent="0.35">
      <c r="A208" s="1" t="s">
        <v>1240</v>
      </c>
      <c r="B208" s="1" t="s">
        <v>1241</v>
      </c>
      <c r="C208">
        <v>0.1507</v>
      </c>
      <c r="D208">
        <v>2563202</v>
      </c>
      <c r="E208">
        <v>22121</v>
      </c>
      <c r="F208" s="1" t="s">
        <v>1245</v>
      </c>
      <c r="G208">
        <v>16990000</v>
      </c>
      <c r="H208" t="s">
        <v>1572</v>
      </c>
    </row>
    <row r="209" spans="1:8" x14ac:dyDescent="0.35">
      <c r="A209" s="1" t="s">
        <v>1251</v>
      </c>
      <c r="B209" s="1" t="s">
        <v>1252</v>
      </c>
      <c r="C209">
        <v>3.8E-3</v>
      </c>
      <c r="D209">
        <v>2557902</v>
      </c>
      <c r="E209">
        <v>384052</v>
      </c>
      <c r="F209" s="1" t="s">
        <v>1256</v>
      </c>
      <c r="G209">
        <v>676150000</v>
      </c>
      <c r="H209" t="s">
        <v>1572</v>
      </c>
    </row>
    <row r="210" spans="1:8" x14ac:dyDescent="0.35">
      <c r="A210" s="1" t="s">
        <v>1262</v>
      </c>
      <c r="B210" s="1" t="s">
        <v>1263</v>
      </c>
      <c r="C210">
        <v>1E-3</v>
      </c>
      <c r="D210">
        <v>2551273</v>
      </c>
      <c r="E210">
        <v>105796</v>
      </c>
      <c r="F210" s="1" t="s">
        <v>1267</v>
      </c>
      <c r="G210">
        <v>2450000000</v>
      </c>
      <c r="H210" t="s">
        <v>1572</v>
      </c>
    </row>
    <row r="211" spans="1:8" x14ac:dyDescent="0.35">
      <c r="A211" s="1" t="s">
        <v>1268</v>
      </c>
      <c r="B211" s="1" t="s">
        <v>1269</v>
      </c>
      <c r="C211">
        <v>8.3799999999999999E-2</v>
      </c>
      <c r="D211">
        <v>2550909</v>
      </c>
      <c r="E211">
        <v>2615</v>
      </c>
      <c r="F211" s="1" t="s">
        <v>1273</v>
      </c>
      <c r="G211">
        <v>674070000000000</v>
      </c>
      <c r="H211" t="s">
        <v>1572</v>
      </c>
    </row>
    <row r="212" spans="1:8" x14ac:dyDescent="0.35">
      <c r="A212" s="1" t="s">
        <v>1274</v>
      </c>
      <c r="B212" s="1" t="s">
        <v>1275</v>
      </c>
      <c r="C212">
        <v>2.3900000000000001E-2</v>
      </c>
      <c r="D212">
        <v>2548956</v>
      </c>
      <c r="E212">
        <v>1244</v>
      </c>
      <c r="F212" s="1" t="s">
        <v>1279</v>
      </c>
      <c r="G212">
        <v>106770000</v>
      </c>
      <c r="H212" t="s">
        <v>1572</v>
      </c>
    </row>
    <row r="213" spans="1:8" x14ac:dyDescent="0.35">
      <c r="A213" s="1" t="s">
        <v>1280</v>
      </c>
      <c r="B213" s="1" t="s">
        <v>1281</v>
      </c>
      <c r="C213">
        <v>0.13739999999999999</v>
      </c>
      <c r="D213">
        <v>2149050</v>
      </c>
      <c r="E213">
        <v>53706</v>
      </c>
      <c r="F213" s="1" t="s">
        <v>1285</v>
      </c>
      <c r="G213">
        <v>15630000</v>
      </c>
      <c r="H213" t="s">
        <v>1572</v>
      </c>
    </row>
    <row r="214" spans="1:8" x14ac:dyDescent="0.35">
      <c r="A214" s="1" t="s">
        <v>1286</v>
      </c>
      <c r="B214" s="1" t="s">
        <v>1287</v>
      </c>
      <c r="C214">
        <v>1.8E-3</v>
      </c>
      <c r="D214">
        <v>2138044</v>
      </c>
      <c r="E214">
        <v>3415</v>
      </c>
      <c r="F214" s="1" t="s">
        <v>1291</v>
      </c>
      <c r="G214">
        <v>1180000000</v>
      </c>
      <c r="H214" t="s">
        <v>1572</v>
      </c>
    </row>
    <row r="215" spans="1:8" x14ac:dyDescent="0.35">
      <c r="A215" s="1" t="s">
        <v>1292</v>
      </c>
      <c r="B215" s="1" t="s">
        <v>1293</v>
      </c>
      <c r="C215">
        <v>2E-3</v>
      </c>
      <c r="D215">
        <v>2131950</v>
      </c>
      <c r="E215">
        <v>98794</v>
      </c>
      <c r="F215" s="1" t="s">
        <v>1297</v>
      </c>
      <c r="G215">
        <v>1050000000</v>
      </c>
      <c r="H215" t="s">
        <v>1572</v>
      </c>
    </row>
    <row r="216" spans="1:8" x14ac:dyDescent="0.35">
      <c r="A216" s="1" t="s">
        <v>1298</v>
      </c>
      <c r="B216" s="1" t="s">
        <v>1299</v>
      </c>
      <c r="C216">
        <v>4.0000000000000001E-3</v>
      </c>
      <c r="D216">
        <v>2129931</v>
      </c>
      <c r="E216">
        <v>498106</v>
      </c>
      <c r="F216" s="1" t="s">
        <v>1303</v>
      </c>
      <c r="G216">
        <v>535210000.00000006</v>
      </c>
      <c r="H216" t="s">
        <v>1572</v>
      </c>
    </row>
    <row r="217" spans="1:8" x14ac:dyDescent="0.35">
      <c r="A217" s="1" t="s">
        <v>1304</v>
      </c>
      <c r="B217" s="1" t="s">
        <v>1305</v>
      </c>
      <c r="C217">
        <v>2E-3</v>
      </c>
      <c r="D217">
        <v>2123077</v>
      </c>
      <c r="E217">
        <v>19440</v>
      </c>
      <c r="F217" s="1" t="s">
        <v>1309</v>
      </c>
      <c r="G217">
        <v>1040000000</v>
      </c>
      <c r="H217" t="s">
        <v>1572</v>
      </c>
    </row>
    <row r="218" spans="1:8" x14ac:dyDescent="0.35">
      <c r="A218" s="1" t="s">
        <v>1310</v>
      </c>
      <c r="B218" s="1" t="s">
        <v>1310</v>
      </c>
      <c r="C218">
        <v>8.9999999999999998E-4</v>
      </c>
      <c r="D218">
        <v>2122698</v>
      </c>
      <c r="E218">
        <v>197032</v>
      </c>
      <c r="F218" s="1" t="s">
        <v>1314</v>
      </c>
      <c r="G218">
        <v>2280000000</v>
      </c>
      <c r="H218" t="s">
        <v>1572</v>
      </c>
    </row>
    <row r="219" spans="1:8" x14ac:dyDescent="0.35">
      <c r="A219" s="1" t="s">
        <v>1315</v>
      </c>
      <c r="B219" s="1" t="s">
        <v>1316</v>
      </c>
      <c r="C219">
        <v>5.0000000000000001E-4</v>
      </c>
      <c r="D219">
        <v>2122315</v>
      </c>
      <c r="E219">
        <v>45</v>
      </c>
      <c r="F219" s="1" t="s">
        <v>1320</v>
      </c>
      <c r="G219">
        <v>3990000000</v>
      </c>
      <c r="H219" t="s">
        <v>1572</v>
      </c>
    </row>
    <row r="220" spans="1:8" x14ac:dyDescent="0.35">
      <c r="A220" s="1" t="s">
        <v>1321</v>
      </c>
      <c r="B220" s="1" t="s">
        <v>1321</v>
      </c>
      <c r="C220">
        <v>0.33239999999999997</v>
      </c>
      <c r="D220">
        <v>2117779</v>
      </c>
      <c r="E220">
        <v>101934</v>
      </c>
      <c r="F220" s="1" t="s">
        <v>1325</v>
      </c>
      <c r="G220">
        <v>6370000</v>
      </c>
      <c r="H220" t="s">
        <v>1572</v>
      </c>
    </row>
    <row r="221" spans="1:8" x14ac:dyDescent="0.35">
      <c r="A221" s="1" t="s">
        <v>1326</v>
      </c>
      <c r="B221" s="1" t="s">
        <v>1327</v>
      </c>
      <c r="C221">
        <v>1.41E-2</v>
      </c>
      <c r="D221">
        <v>2116526</v>
      </c>
      <c r="E221">
        <v>52628</v>
      </c>
      <c r="F221" s="1" t="s">
        <v>1331</v>
      </c>
      <c r="G221">
        <v>150000000</v>
      </c>
      <c r="H221" t="s">
        <v>1572</v>
      </c>
    </row>
    <row r="222" spans="1:8" x14ac:dyDescent="0.35">
      <c r="A222" s="1" t="s">
        <v>1332</v>
      </c>
      <c r="B222" s="1" t="s">
        <v>1333</v>
      </c>
      <c r="C222">
        <v>2.0999999999999999E-3</v>
      </c>
      <c r="D222">
        <v>2109365</v>
      </c>
      <c r="E222">
        <v>85018</v>
      </c>
      <c r="F222" s="1" t="s">
        <v>1337</v>
      </c>
      <c r="G222">
        <v>999980000</v>
      </c>
      <c r="H222" t="s">
        <v>1572</v>
      </c>
    </row>
    <row r="223" spans="1:8" x14ac:dyDescent="0.35">
      <c r="A223" s="1" t="s">
        <v>1338</v>
      </c>
      <c r="B223" s="1" t="s">
        <v>1339</v>
      </c>
      <c r="C223">
        <v>1E-3</v>
      </c>
      <c r="D223">
        <v>2108672</v>
      </c>
      <c r="E223">
        <v>13019</v>
      </c>
      <c r="F223" s="1" t="s">
        <v>1343</v>
      </c>
      <c r="G223">
        <v>2120000000</v>
      </c>
      <c r="H223" t="s">
        <v>1572</v>
      </c>
    </row>
    <row r="224" spans="1:8" x14ac:dyDescent="0.35">
      <c r="A224" s="1" t="s">
        <v>1344</v>
      </c>
      <c r="B224" s="1" t="s">
        <v>1345</v>
      </c>
      <c r="C224">
        <v>3.6299999999999999E-2</v>
      </c>
      <c r="D224">
        <v>2100605</v>
      </c>
      <c r="E224">
        <v>226</v>
      </c>
      <c r="F224" s="1" t="s">
        <v>1349</v>
      </c>
      <c r="G224">
        <v>57850000</v>
      </c>
      <c r="H224" t="s">
        <v>1572</v>
      </c>
    </row>
    <row r="225" spans="1:8" x14ac:dyDescent="0.35">
      <c r="A225" s="1" t="s">
        <v>1350</v>
      </c>
      <c r="B225" s="1" t="s">
        <v>1351</v>
      </c>
      <c r="C225">
        <v>2.8999999999999998E-3</v>
      </c>
      <c r="D225">
        <v>2098289</v>
      </c>
      <c r="E225">
        <v>57767</v>
      </c>
      <c r="F225" s="1" t="s">
        <v>1355</v>
      </c>
      <c r="G225">
        <v>731580000</v>
      </c>
      <c r="H225" t="s">
        <v>1572</v>
      </c>
    </row>
    <row r="226" spans="1:8" x14ac:dyDescent="0.35">
      <c r="A226" s="1" t="s">
        <v>1356</v>
      </c>
      <c r="B226" s="1" t="s">
        <v>1357</v>
      </c>
      <c r="C226">
        <v>0.21659999999999999</v>
      </c>
      <c r="D226">
        <v>2095611</v>
      </c>
      <c r="E226">
        <v>974625</v>
      </c>
      <c r="F226" s="1" t="s">
        <v>1361</v>
      </c>
      <c r="G226">
        <v>9670000</v>
      </c>
      <c r="H226" t="s">
        <v>1572</v>
      </c>
    </row>
    <row r="227" spans="1:8" x14ac:dyDescent="0.35">
      <c r="A227" s="1" t="s">
        <v>1362</v>
      </c>
      <c r="B227" s="1" t="s">
        <v>1363</v>
      </c>
      <c r="C227">
        <v>6.2100000000000002E-2</v>
      </c>
      <c r="D227">
        <v>1751984</v>
      </c>
      <c r="E227">
        <v>129933</v>
      </c>
      <c r="F227" s="1" t="s">
        <v>1367</v>
      </c>
      <c r="G227">
        <v>8500000000000</v>
      </c>
      <c r="H227" t="s">
        <v>1572</v>
      </c>
    </row>
    <row r="228" spans="1:8" x14ac:dyDescent="0.35">
      <c r="A228" s="1" t="s">
        <v>1368</v>
      </c>
      <c r="B228" s="1" t="s">
        <v>1369</v>
      </c>
      <c r="C228">
        <v>1.6299999999999999E-2</v>
      </c>
      <c r="D228">
        <v>1743132</v>
      </c>
      <c r="E228">
        <v>35341</v>
      </c>
      <c r="F228" s="1" t="s">
        <v>1373</v>
      </c>
      <c r="G228">
        <v>107130000</v>
      </c>
      <c r="H228" t="s">
        <v>1572</v>
      </c>
    </row>
    <row r="229" spans="1:8" x14ac:dyDescent="0.35">
      <c r="A229" s="1" t="s">
        <v>1374</v>
      </c>
      <c r="B229" s="1" t="s">
        <v>1375</v>
      </c>
      <c r="C229">
        <v>1.4E-3</v>
      </c>
      <c r="D229">
        <v>1742134</v>
      </c>
      <c r="E229">
        <v>30616</v>
      </c>
      <c r="F229" s="1" t="s">
        <v>1379</v>
      </c>
      <c r="G229">
        <v>1250000000</v>
      </c>
      <c r="H229" t="s">
        <v>1572</v>
      </c>
    </row>
    <row r="230" spans="1:8" x14ac:dyDescent="0.35">
      <c r="A230" s="1" t="s">
        <v>1380</v>
      </c>
      <c r="B230" s="1" t="s">
        <v>1381</v>
      </c>
      <c r="C230">
        <v>5.1999999999999998E-2</v>
      </c>
      <c r="D230">
        <v>1741360</v>
      </c>
      <c r="E230">
        <v>76076</v>
      </c>
      <c r="F230" s="1" t="s">
        <v>1385</v>
      </c>
      <c r="G230">
        <v>33450000.000000004</v>
      </c>
      <c r="H230" t="s">
        <v>1572</v>
      </c>
    </row>
    <row r="231" spans="1:8" x14ac:dyDescent="0.35">
      <c r="A231" s="1" t="s">
        <v>1386</v>
      </c>
      <c r="B231" s="1" t="s">
        <v>1387</v>
      </c>
      <c r="C231">
        <v>1.8E-3</v>
      </c>
      <c r="D231">
        <v>1738604</v>
      </c>
      <c r="E231">
        <v>495271</v>
      </c>
      <c r="F231" s="1" t="s">
        <v>1391</v>
      </c>
      <c r="G231">
        <v>950000000</v>
      </c>
      <c r="H231" t="s">
        <v>1572</v>
      </c>
    </row>
    <row r="232" spans="1:8" x14ac:dyDescent="0.35">
      <c r="A232" s="1" t="s">
        <v>1392</v>
      </c>
      <c r="B232" s="1" t="s">
        <v>1393</v>
      </c>
      <c r="C232">
        <v>3.1300000000000001E-2</v>
      </c>
      <c r="D232">
        <v>1732632</v>
      </c>
      <c r="E232">
        <v>5</v>
      </c>
      <c r="F232" s="1" t="s">
        <v>1397</v>
      </c>
      <c r="G232">
        <v>55410000</v>
      </c>
      <c r="H232" t="s">
        <v>1572</v>
      </c>
    </row>
    <row r="233" spans="1:8" x14ac:dyDescent="0.35">
      <c r="A233" s="1" t="s">
        <v>1398</v>
      </c>
      <c r="B233" s="1" t="s">
        <v>1399</v>
      </c>
      <c r="C233">
        <v>1.8E-3</v>
      </c>
      <c r="D233">
        <v>1730416</v>
      </c>
      <c r="E233">
        <v>52131</v>
      </c>
      <c r="F233" s="1" t="s">
        <v>1403</v>
      </c>
      <c r="G233">
        <v>950270000</v>
      </c>
      <c r="H233" t="s">
        <v>1572</v>
      </c>
    </row>
    <row r="234" spans="1:8" x14ac:dyDescent="0.35">
      <c r="A234" s="1" t="s">
        <v>1404</v>
      </c>
      <c r="B234" s="1" t="s">
        <v>1405</v>
      </c>
      <c r="C234">
        <v>4.19E-2</v>
      </c>
      <c r="D234">
        <v>1728611</v>
      </c>
      <c r="E234">
        <v>150993</v>
      </c>
      <c r="F234" s="1" t="s">
        <v>1409</v>
      </c>
      <c r="G234">
        <v>41280000</v>
      </c>
      <c r="H234" t="s">
        <v>1572</v>
      </c>
    </row>
    <row r="235" spans="1:8" x14ac:dyDescent="0.35">
      <c r="A235" s="1" t="s">
        <v>1410</v>
      </c>
      <c r="B235" s="1" t="s">
        <v>1411</v>
      </c>
      <c r="C235">
        <v>4.0000000000000001E-3</v>
      </c>
      <c r="D235">
        <v>1716480</v>
      </c>
      <c r="E235">
        <v>112276</v>
      </c>
      <c r="F235" s="1" t="s">
        <v>1415</v>
      </c>
      <c r="G235">
        <v>429810000</v>
      </c>
      <c r="H235" t="s">
        <v>1572</v>
      </c>
    </row>
    <row r="236" spans="1:8" x14ac:dyDescent="0.35">
      <c r="A236" s="1" t="s">
        <v>1416</v>
      </c>
      <c r="B236" s="1" t="s">
        <v>1417</v>
      </c>
      <c r="C236">
        <v>2.5999999999999999E-2</v>
      </c>
      <c r="D236">
        <v>1714570</v>
      </c>
      <c r="E236">
        <v>241443</v>
      </c>
      <c r="F236" s="1" t="s">
        <v>1421</v>
      </c>
      <c r="G236">
        <v>66000000</v>
      </c>
      <c r="H236" t="s">
        <v>1572</v>
      </c>
    </row>
    <row r="237" spans="1:8" x14ac:dyDescent="0.35">
      <c r="A237" s="1" t="s">
        <v>1422</v>
      </c>
      <c r="B237" s="1" t="s">
        <v>1423</v>
      </c>
      <c r="C237">
        <v>3.3999999999999998E-3</v>
      </c>
      <c r="D237">
        <v>1695550</v>
      </c>
      <c r="E237">
        <v>30913</v>
      </c>
      <c r="F237" s="1" t="s">
        <v>1427</v>
      </c>
      <c r="G237">
        <v>499990000</v>
      </c>
      <c r="H237" t="s">
        <v>1572</v>
      </c>
    </row>
    <row r="238" spans="1:8" x14ac:dyDescent="0.35">
      <c r="A238" s="1" t="s">
        <v>1428</v>
      </c>
      <c r="B238" s="1" t="s">
        <v>1429</v>
      </c>
      <c r="C238">
        <v>2.8E-3</v>
      </c>
      <c r="D238">
        <v>1694329</v>
      </c>
      <c r="E238">
        <v>3195</v>
      </c>
      <c r="F238" s="1" t="s">
        <v>1433</v>
      </c>
      <c r="G238">
        <v>614890000</v>
      </c>
      <c r="H238" t="s">
        <v>1572</v>
      </c>
    </row>
    <row r="239" spans="1:8" x14ac:dyDescent="0.35">
      <c r="A239" s="1" t="s">
        <v>1434</v>
      </c>
      <c r="B239" s="1" t="s">
        <v>1435</v>
      </c>
      <c r="C239">
        <v>2.3599999999999999E-2</v>
      </c>
      <c r="D239">
        <v>1676898</v>
      </c>
      <c r="E239">
        <v>190087</v>
      </c>
      <c r="F239" s="1" t="s">
        <v>1439</v>
      </c>
      <c r="G239">
        <v>70970000</v>
      </c>
      <c r="H239" t="s">
        <v>1572</v>
      </c>
    </row>
    <row r="240" spans="1:8" x14ac:dyDescent="0.35">
      <c r="A240" s="1" t="s">
        <v>1440</v>
      </c>
      <c r="B240" s="1" t="s">
        <v>1440</v>
      </c>
      <c r="C240">
        <v>8.0999999999999996E-3</v>
      </c>
      <c r="D240">
        <v>1377090</v>
      </c>
      <c r="E240">
        <v>975854</v>
      </c>
      <c r="F240" s="1" t="s">
        <v>1444</v>
      </c>
      <c r="G240">
        <v>170000000</v>
      </c>
      <c r="H240" t="s">
        <v>1572</v>
      </c>
    </row>
    <row r="241" spans="1:8" x14ac:dyDescent="0.35">
      <c r="A241" s="1" t="s">
        <v>1445</v>
      </c>
      <c r="B241" s="1" t="s">
        <v>1446</v>
      </c>
      <c r="C241">
        <v>1.4E-3</v>
      </c>
      <c r="D241">
        <v>1376470</v>
      </c>
      <c r="E241">
        <v>73985</v>
      </c>
      <c r="F241" s="1" t="s">
        <v>1450</v>
      </c>
      <c r="G241">
        <v>970000000</v>
      </c>
      <c r="H241" t="s">
        <v>1572</v>
      </c>
    </row>
    <row r="242" spans="1:8" x14ac:dyDescent="0.35">
      <c r="A242" s="1" t="s">
        <v>1462</v>
      </c>
      <c r="B242" s="1" t="s">
        <v>1463</v>
      </c>
      <c r="C242">
        <v>1.45</v>
      </c>
      <c r="D242">
        <v>1370889</v>
      </c>
      <c r="E242">
        <v>64297</v>
      </c>
      <c r="F242" s="1" t="s">
        <v>1467</v>
      </c>
      <c r="G242">
        <v>939210</v>
      </c>
      <c r="H242" t="s">
        <v>1572</v>
      </c>
    </row>
    <row r="243" spans="1:8" x14ac:dyDescent="0.35">
      <c r="A243" s="1" t="s">
        <v>1468</v>
      </c>
      <c r="B243" s="1" t="s">
        <v>1469</v>
      </c>
      <c r="C243">
        <v>0.1067</v>
      </c>
      <c r="D243">
        <v>1368174</v>
      </c>
      <c r="E243">
        <v>133857</v>
      </c>
      <c r="F243" s="1" t="s">
        <v>1473</v>
      </c>
      <c r="G243">
        <v>12810000</v>
      </c>
      <c r="H243" t="s">
        <v>1572</v>
      </c>
    </row>
    <row r="244" spans="1:8" x14ac:dyDescent="0.35">
      <c r="A244" s="1" t="s">
        <v>1474</v>
      </c>
      <c r="B244" s="1" t="s">
        <v>1475</v>
      </c>
      <c r="C244">
        <v>2.0000000000000001E-4</v>
      </c>
      <c r="D244">
        <v>1364205</v>
      </c>
      <c r="E244">
        <v>79839</v>
      </c>
      <c r="F244" s="1" t="s">
        <v>1479</v>
      </c>
      <c r="G244">
        <v>6930000000</v>
      </c>
      <c r="H244" t="s">
        <v>1572</v>
      </c>
    </row>
    <row r="245" spans="1:8" x14ac:dyDescent="0.35">
      <c r="A245" s="1" t="s">
        <v>1480</v>
      </c>
      <c r="B245" s="1" t="s">
        <v>1480</v>
      </c>
      <c r="C245">
        <v>2.0000000000000001E-4</v>
      </c>
      <c r="D245">
        <v>1363127</v>
      </c>
      <c r="E245">
        <v>934795</v>
      </c>
      <c r="F245" s="1" t="s">
        <v>1484</v>
      </c>
      <c r="G245">
        <v>5730000000</v>
      </c>
      <c r="H245" t="s">
        <v>1572</v>
      </c>
    </row>
    <row r="246" spans="1:8" x14ac:dyDescent="0.35">
      <c r="A246" s="1" t="s">
        <v>1485</v>
      </c>
      <c r="B246" s="1" t="s">
        <v>1486</v>
      </c>
      <c r="C246">
        <v>8.2100000000000006E-2</v>
      </c>
      <c r="D246">
        <v>1361600</v>
      </c>
      <c r="E246">
        <v>147605</v>
      </c>
      <c r="F246" s="1" t="s">
        <v>1490</v>
      </c>
      <c r="G246">
        <v>636120000000000</v>
      </c>
      <c r="H246" t="s">
        <v>1572</v>
      </c>
    </row>
    <row r="247" spans="1:8" x14ac:dyDescent="0.35">
      <c r="A247" s="1" t="s">
        <v>1491</v>
      </c>
      <c r="B247" s="1" t="s">
        <v>1491</v>
      </c>
      <c r="C247">
        <v>2.0000000000000001E-4</v>
      </c>
      <c r="D247">
        <v>1360761</v>
      </c>
      <c r="E247">
        <v>492139</v>
      </c>
      <c r="F247" s="1" t="s">
        <v>1495</v>
      </c>
      <c r="G247">
        <v>6070000000</v>
      </c>
      <c r="H247" t="s">
        <v>1572</v>
      </c>
    </row>
    <row r="248" spans="1:8" x14ac:dyDescent="0.35">
      <c r="A248" s="1" t="s">
        <v>1496</v>
      </c>
      <c r="B248" s="1" t="s">
        <v>1496</v>
      </c>
      <c r="C248">
        <v>1.4E-3</v>
      </c>
      <c r="D248">
        <v>1359796</v>
      </c>
      <c r="E248">
        <v>298359</v>
      </c>
      <c r="F248" s="1" t="s">
        <v>121</v>
      </c>
      <c r="G248">
        <v>1000000000</v>
      </c>
      <c r="H248" t="s">
        <v>1572</v>
      </c>
    </row>
    <row r="249" spans="1:8" x14ac:dyDescent="0.35">
      <c r="A249" s="1" t="s">
        <v>1505</v>
      </c>
      <c r="B249" s="1" t="s">
        <v>1506</v>
      </c>
      <c r="C249">
        <v>6.8900000000000003E-2</v>
      </c>
      <c r="D249">
        <v>1353229</v>
      </c>
      <c r="E249">
        <v>41592</v>
      </c>
      <c r="F249" s="1" t="s">
        <v>1510</v>
      </c>
      <c r="G249">
        <v>19630000</v>
      </c>
      <c r="H249" t="s">
        <v>1572</v>
      </c>
    </row>
    <row r="250" spans="1:8" x14ac:dyDescent="0.35">
      <c r="A250" s="1" t="s">
        <v>1511</v>
      </c>
      <c r="B250" s="1" t="s">
        <v>1511</v>
      </c>
      <c r="C250">
        <v>5.1200000000000002E-2</v>
      </c>
      <c r="D250">
        <v>1121130</v>
      </c>
      <c r="E250">
        <v>2007</v>
      </c>
      <c r="F250" s="1" t="s">
        <v>1515</v>
      </c>
      <c r="G250">
        <v>929450000000</v>
      </c>
      <c r="H250" t="s">
        <v>1572</v>
      </c>
    </row>
    <row r="251" spans="1:8" x14ac:dyDescent="0.35">
      <c r="A251" s="1" t="s">
        <v>1516</v>
      </c>
      <c r="B251" s="1" t="s">
        <v>1517</v>
      </c>
      <c r="C251">
        <v>0.41830000000000001</v>
      </c>
      <c r="D251">
        <v>1098616</v>
      </c>
      <c r="E251">
        <v>8914</v>
      </c>
      <c r="F251" s="1" t="s">
        <v>1521</v>
      </c>
      <c r="G251">
        <v>2620000</v>
      </c>
      <c r="H251" t="s">
        <v>1572</v>
      </c>
    </row>
    <row r="252" spans="1:8" x14ac:dyDescent="0.35">
      <c r="A252" s="1" t="s">
        <v>1522</v>
      </c>
      <c r="B252" s="1" t="s">
        <v>1522</v>
      </c>
      <c r="C252">
        <v>9.2499999999999999E-2</v>
      </c>
      <c r="D252">
        <v>1109822</v>
      </c>
      <c r="E252">
        <v>22408</v>
      </c>
      <c r="F252" s="1" t="s">
        <v>1526</v>
      </c>
      <c r="G252">
        <v>12000000</v>
      </c>
      <c r="H252" t="s">
        <v>1572</v>
      </c>
    </row>
    <row r="253" spans="1:8" x14ac:dyDescent="0.35">
      <c r="A253" s="1" t="s">
        <v>1527</v>
      </c>
      <c r="B253" s="1" t="s">
        <v>1528</v>
      </c>
      <c r="C253">
        <v>8.2600000000000007E-2</v>
      </c>
      <c r="D253">
        <v>1102053</v>
      </c>
      <c r="E253">
        <v>1118950</v>
      </c>
      <c r="F253" s="1" t="s">
        <v>1532</v>
      </c>
      <c r="G253">
        <v>420690000000000</v>
      </c>
      <c r="H253" t="s">
        <v>1572</v>
      </c>
    </row>
    <row r="254" spans="1:8" x14ac:dyDescent="0.35">
      <c r="A254" s="1" t="s">
        <v>1533</v>
      </c>
      <c r="B254" s="1" t="s">
        <v>1534</v>
      </c>
      <c r="C254">
        <v>2.1399999999999999E-2</v>
      </c>
      <c r="D254">
        <v>1101673</v>
      </c>
      <c r="E254">
        <v>65686</v>
      </c>
      <c r="F254" s="1" t="s">
        <v>1538</v>
      </c>
      <c r="G254">
        <v>51390000</v>
      </c>
      <c r="H254" t="s">
        <v>1572</v>
      </c>
    </row>
    <row r="255" spans="1:8" x14ac:dyDescent="0.35">
      <c r="A255" s="1" t="s">
        <v>1539</v>
      </c>
      <c r="B255" s="1" t="s">
        <v>1540</v>
      </c>
      <c r="C255">
        <v>0.1754</v>
      </c>
      <c r="D255">
        <v>1101064</v>
      </c>
      <c r="E255">
        <v>8879</v>
      </c>
      <c r="F255" s="1" t="s">
        <v>1544</v>
      </c>
      <c r="G255">
        <v>6270000</v>
      </c>
      <c r="H255" t="s">
        <v>1572</v>
      </c>
    </row>
    <row r="256" spans="1:8" x14ac:dyDescent="0.35">
      <c r="A256" s="1" t="s">
        <v>1545</v>
      </c>
      <c r="B256" s="1" t="s">
        <v>1546</v>
      </c>
      <c r="C256">
        <v>1.5E-3</v>
      </c>
      <c r="D256">
        <v>1097570</v>
      </c>
      <c r="E256">
        <v>3150</v>
      </c>
      <c r="F256" s="1" t="s">
        <v>1550</v>
      </c>
      <c r="G256">
        <v>750300000</v>
      </c>
      <c r="H256" t="s">
        <v>1572</v>
      </c>
    </row>
    <row r="257" spans="1:8" x14ac:dyDescent="0.35">
      <c r="A257" s="1" t="s">
        <v>1551</v>
      </c>
      <c r="B257" s="1" t="s">
        <v>1552</v>
      </c>
      <c r="C257">
        <v>2.0000000000000001E-4</v>
      </c>
      <c r="D257">
        <v>1096127</v>
      </c>
      <c r="E257">
        <v>247575</v>
      </c>
      <c r="F257" s="1" t="s">
        <v>1556</v>
      </c>
      <c r="G257">
        <v>4420000000</v>
      </c>
      <c r="H257" t="s">
        <v>1572</v>
      </c>
    </row>
    <row r="258" spans="1:8" x14ac:dyDescent="0.35">
      <c r="A258" s="1" t="s">
        <v>1557</v>
      </c>
      <c r="B258" s="1" t="s">
        <v>1558</v>
      </c>
      <c r="C258">
        <v>5.2200000000000003E-2</v>
      </c>
      <c r="D258">
        <v>1094656</v>
      </c>
      <c r="E258">
        <v>355034</v>
      </c>
      <c r="F258" s="1" t="s">
        <v>1562</v>
      </c>
      <c r="G258">
        <v>497310000000</v>
      </c>
      <c r="H258" t="s">
        <v>1572</v>
      </c>
    </row>
    <row r="259" spans="1:8" x14ac:dyDescent="0.35">
      <c r="A259" s="1" t="s">
        <v>1563</v>
      </c>
      <c r="B259" s="1" t="s">
        <v>1564</v>
      </c>
      <c r="C259">
        <v>7.9000000000000001E-2</v>
      </c>
      <c r="D259">
        <v>1094031</v>
      </c>
      <c r="E259">
        <v>32087</v>
      </c>
      <c r="F259" s="1" t="s">
        <v>1568</v>
      </c>
      <c r="G259">
        <v>12210000000000</v>
      </c>
      <c r="H259" t="s">
        <v>1572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D90D-524A-458F-8E32-7F05FAB11423}">
  <dimension ref="A1:AN55"/>
  <sheetViews>
    <sheetView tabSelected="1" topLeftCell="D1" zoomScale="47" workbookViewId="0">
      <selection activeCell="V32" sqref="V32"/>
    </sheetView>
  </sheetViews>
  <sheetFormatPr defaultRowHeight="14.5" x14ac:dyDescent="0.35"/>
  <cols>
    <col min="1" max="1" width="21.08984375" bestFit="1" customWidth="1"/>
    <col min="2" max="2" width="19.26953125" bestFit="1" customWidth="1"/>
    <col min="4" max="4" width="12.54296875" bestFit="1" customWidth="1"/>
    <col min="6" max="6" width="12.1796875" bestFit="1" customWidth="1"/>
    <col min="7" max="7" width="14.36328125" bestFit="1" customWidth="1"/>
    <col min="14" max="14" width="8.7265625" customWidth="1"/>
    <col min="15" max="15" width="0.26953125" customWidth="1"/>
    <col min="16" max="19" width="8.7265625" hidden="1" customWidth="1"/>
    <col min="21" max="21" width="35.6328125" customWidth="1"/>
    <col min="22" max="22" width="91.7265625" customWidth="1"/>
    <col min="23" max="23" width="8.7265625" customWidth="1"/>
  </cols>
  <sheetData>
    <row r="1" spans="1:40" x14ac:dyDescent="0.35">
      <c r="A1" s="2" t="s">
        <v>0</v>
      </c>
      <c r="B1" t="s">
        <v>1574</v>
      </c>
      <c r="N1" s="5"/>
      <c r="O1" s="4"/>
      <c r="P1" s="4"/>
      <c r="Q1" s="4"/>
      <c r="R1" s="4"/>
      <c r="S1" s="4"/>
      <c r="T1" s="4"/>
      <c r="U1" s="4"/>
      <c r="V1" s="4"/>
      <c r="W1" s="4"/>
      <c r="X1" s="5"/>
      <c r="Y1" s="5"/>
      <c r="Z1" s="5"/>
      <c r="AA1" s="5"/>
      <c r="AB1" s="5"/>
      <c r="AC1" s="5"/>
      <c r="AD1" s="5"/>
      <c r="AE1" s="5"/>
      <c r="AF1" s="5"/>
      <c r="AG1" s="5"/>
      <c r="AH1" s="5"/>
      <c r="AI1" s="5"/>
      <c r="AJ1" s="5"/>
      <c r="AK1" s="5"/>
      <c r="AL1" s="5"/>
      <c r="AM1" s="5"/>
      <c r="AN1" s="5"/>
    </row>
    <row r="2" spans="1:40" x14ac:dyDescent="0.35">
      <c r="A2" s="3" t="s">
        <v>50</v>
      </c>
      <c r="B2" s="1">
        <v>1658004162</v>
      </c>
      <c r="D2">
        <f>SUM(cleaned_data!E:E)</f>
        <v>270100371786</v>
      </c>
      <c r="N2" s="5"/>
      <c r="O2" s="4"/>
      <c r="P2" s="4"/>
      <c r="Q2" s="4"/>
      <c r="R2" s="4"/>
      <c r="S2" s="4"/>
      <c r="T2" s="4"/>
      <c r="U2" s="4"/>
      <c r="V2" s="4"/>
      <c r="W2" s="4"/>
      <c r="X2" s="5"/>
      <c r="Y2" s="5"/>
      <c r="Z2" s="5"/>
      <c r="AA2" s="5"/>
      <c r="AB2" s="5"/>
      <c r="AC2" s="5"/>
      <c r="AD2" s="5"/>
      <c r="AE2" s="5"/>
      <c r="AF2" s="5"/>
      <c r="AG2" s="5"/>
      <c r="AH2" s="5"/>
      <c r="AI2" s="5"/>
      <c r="AJ2" s="5"/>
      <c r="AK2" s="5"/>
      <c r="AL2" s="5"/>
      <c r="AM2" s="5"/>
      <c r="AN2" s="5"/>
    </row>
    <row r="3" spans="1:40" x14ac:dyDescent="0.35">
      <c r="A3" s="3" t="s">
        <v>18</v>
      </c>
      <c r="B3" s="1">
        <v>133380001774</v>
      </c>
      <c r="D3">
        <f>SUM(V32:V36)</f>
        <v>193624568242</v>
      </c>
      <c r="N3" s="5"/>
      <c r="O3" s="4"/>
      <c r="P3" s="4"/>
      <c r="Q3" s="4"/>
      <c r="R3" s="4"/>
      <c r="S3" s="4"/>
      <c r="T3" s="4"/>
      <c r="U3" s="4"/>
      <c r="V3" s="4"/>
      <c r="W3" s="4"/>
      <c r="X3" s="5"/>
      <c r="Y3" s="5"/>
      <c r="Z3" s="5"/>
      <c r="AA3" s="5"/>
      <c r="AB3" s="5"/>
      <c r="AC3" s="5"/>
      <c r="AD3" s="5"/>
      <c r="AE3" s="5"/>
      <c r="AF3" s="5"/>
      <c r="AG3" s="5"/>
      <c r="AH3" s="5"/>
      <c r="AI3" s="5"/>
      <c r="AJ3" s="5"/>
      <c r="AK3" s="5"/>
      <c r="AL3" s="5"/>
      <c r="AM3" s="5"/>
      <c r="AN3" s="5"/>
    </row>
    <row r="4" spans="1:40" x14ac:dyDescent="0.35">
      <c r="A4" s="3" t="s">
        <v>44</v>
      </c>
      <c r="B4" s="1">
        <v>810662274</v>
      </c>
      <c r="N4" s="5"/>
      <c r="O4" s="4"/>
      <c r="P4" s="4"/>
      <c r="Q4" s="4"/>
      <c r="R4" s="4"/>
      <c r="S4" s="4"/>
      <c r="T4" s="4"/>
      <c r="U4" s="4"/>
      <c r="V4" s="4"/>
      <c r="W4" s="4"/>
      <c r="X4" s="5"/>
      <c r="Y4" s="5"/>
      <c r="Z4" s="5"/>
      <c r="AA4" s="5"/>
      <c r="AB4" s="5"/>
      <c r="AC4" s="5"/>
      <c r="AD4" s="5"/>
      <c r="AE4" s="5"/>
      <c r="AF4" s="5"/>
      <c r="AG4" s="5"/>
      <c r="AH4" s="5"/>
      <c r="AI4" s="5"/>
      <c r="AJ4" s="5"/>
      <c r="AK4" s="5"/>
      <c r="AL4" s="5"/>
      <c r="AM4" s="5"/>
      <c r="AN4" s="5"/>
    </row>
    <row r="5" spans="1:40" x14ac:dyDescent="0.35">
      <c r="A5" s="3" t="s">
        <v>34</v>
      </c>
      <c r="B5" s="1">
        <v>57775900032</v>
      </c>
      <c r="N5" s="5"/>
      <c r="O5" s="4"/>
      <c r="P5" s="4"/>
      <c r="Q5" s="4"/>
      <c r="R5" s="4"/>
      <c r="S5" s="4"/>
      <c r="T5" s="4"/>
      <c r="U5" s="4"/>
      <c r="V5" s="4"/>
      <c r="W5" s="4"/>
      <c r="X5" s="5"/>
      <c r="Y5" s="5"/>
      <c r="Z5" s="5"/>
      <c r="AA5" s="5"/>
      <c r="AB5" s="5"/>
      <c r="AC5" s="5"/>
      <c r="AD5" s="5"/>
      <c r="AE5" s="5"/>
      <c r="AF5" s="5"/>
      <c r="AG5" s="5"/>
      <c r="AH5" s="5"/>
      <c r="AI5" s="5"/>
      <c r="AJ5" s="5"/>
      <c r="AK5" s="5"/>
      <c r="AL5" s="5"/>
      <c r="AM5" s="5"/>
      <c r="AN5" s="5"/>
    </row>
    <row r="6" spans="1:40" x14ac:dyDescent="0.35">
      <c r="A6" s="3" t="s">
        <v>24</v>
      </c>
      <c r="B6" s="1">
        <v>2057869941</v>
      </c>
      <c r="N6" s="5"/>
      <c r="O6" s="4"/>
      <c r="P6" s="4"/>
      <c r="Q6" s="4"/>
      <c r="R6" s="4"/>
      <c r="S6" s="4"/>
      <c r="T6" s="4"/>
      <c r="U6" s="4"/>
      <c r="V6" s="4"/>
      <c r="W6" s="4"/>
      <c r="X6" s="5"/>
      <c r="Y6" s="5"/>
      <c r="Z6" s="5"/>
      <c r="AA6" s="5"/>
      <c r="AB6" s="5"/>
      <c r="AC6" s="5"/>
      <c r="AD6" s="5"/>
      <c r="AE6" s="5"/>
      <c r="AF6" s="5"/>
      <c r="AG6" s="5"/>
      <c r="AH6" s="5"/>
      <c r="AI6" s="5"/>
      <c r="AJ6" s="5"/>
      <c r="AK6" s="5"/>
      <c r="AL6" s="5"/>
      <c r="AM6" s="5"/>
      <c r="AN6" s="5"/>
    </row>
    <row r="7" spans="1:40" x14ac:dyDescent="0.35">
      <c r="A7" s="3" t="s">
        <v>1573</v>
      </c>
      <c r="B7" s="1">
        <v>195682438183</v>
      </c>
      <c r="N7" s="5"/>
      <c r="O7" s="4"/>
      <c r="P7" s="4"/>
      <c r="Q7" s="4"/>
      <c r="R7" s="4"/>
      <c r="S7" s="4"/>
      <c r="T7" s="4"/>
      <c r="U7" s="4"/>
      <c r="V7" s="4"/>
      <c r="W7" s="4"/>
      <c r="X7" s="5"/>
      <c r="Y7" s="5"/>
      <c r="Z7" s="5"/>
      <c r="AA7" s="5"/>
      <c r="AB7" s="5"/>
      <c r="AC7" s="5"/>
      <c r="AD7" s="5"/>
      <c r="AE7" s="5"/>
      <c r="AF7" s="5"/>
      <c r="AG7" s="5"/>
      <c r="AH7" s="5"/>
      <c r="AI7" s="5"/>
      <c r="AJ7" s="5"/>
      <c r="AK7" s="5"/>
      <c r="AL7" s="5"/>
      <c r="AM7" s="5"/>
      <c r="AN7" s="5"/>
    </row>
    <row r="8" spans="1:40" x14ac:dyDescent="0.35">
      <c r="N8" s="5"/>
      <c r="O8" s="4"/>
      <c r="P8" s="4"/>
      <c r="Q8" s="4"/>
      <c r="R8" s="4"/>
      <c r="S8" s="4"/>
      <c r="T8" s="4"/>
      <c r="U8" s="4"/>
      <c r="V8" s="4"/>
      <c r="W8" s="4"/>
      <c r="X8" s="5"/>
      <c r="Y8" s="5"/>
      <c r="Z8" s="5"/>
      <c r="AA8" s="5"/>
      <c r="AB8" s="5"/>
      <c r="AC8" s="5"/>
      <c r="AD8" s="5"/>
      <c r="AE8" s="5"/>
      <c r="AF8" s="5"/>
      <c r="AG8" s="5"/>
      <c r="AH8" s="5"/>
      <c r="AI8" s="5"/>
      <c r="AJ8" s="5"/>
      <c r="AK8" s="5"/>
      <c r="AL8" s="5"/>
      <c r="AM8" s="5"/>
      <c r="AN8" s="5"/>
    </row>
    <row r="9" spans="1:40" x14ac:dyDescent="0.35">
      <c r="N9" s="5"/>
      <c r="O9" s="4"/>
      <c r="P9" s="4"/>
      <c r="Q9" s="4"/>
      <c r="R9" s="4"/>
      <c r="S9" s="4"/>
      <c r="T9" s="4"/>
      <c r="U9" s="4"/>
      <c r="V9" s="4"/>
      <c r="W9" s="4"/>
      <c r="X9" s="5"/>
      <c r="Y9" s="5"/>
      <c r="Z9" s="5"/>
      <c r="AA9" s="5"/>
      <c r="AB9" s="5"/>
      <c r="AC9" s="5"/>
      <c r="AD9" s="5"/>
      <c r="AE9" s="5"/>
      <c r="AF9" s="5"/>
      <c r="AG9" s="5"/>
      <c r="AH9" s="5"/>
      <c r="AI9" s="5"/>
      <c r="AJ9" s="5"/>
      <c r="AK9" s="5"/>
      <c r="AL9" s="5"/>
      <c r="AM9" s="5"/>
      <c r="AN9" s="5"/>
    </row>
    <row r="10" spans="1:40" x14ac:dyDescent="0.35">
      <c r="N10" s="5"/>
      <c r="O10" s="4"/>
      <c r="P10" s="4"/>
      <c r="Q10" s="4"/>
      <c r="R10" s="4"/>
      <c r="S10" s="4"/>
      <c r="T10" s="4"/>
      <c r="U10" s="4"/>
      <c r="V10" s="4"/>
      <c r="W10" s="4"/>
      <c r="X10" s="5"/>
      <c r="Y10" s="5"/>
      <c r="Z10" s="5"/>
      <c r="AA10" s="5"/>
      <c r="AB10" s="5"/>
      <c r="AC10" s="5"/>
      <c r="AD10" s="5"/>
      <c r="AE10" s="5"/>
      <c r="AF10" s="5"/>
      <c r="AG10" s="5"/>
      <c r="AH10" s="5"/>
      <c r="AI10" s="5"/>
      <c r="AJ10" s="5"/>
      <c r="AK10" s="5"/>
      <c r="AL10" s="5"/>
      <c r="AM10" s="5"/>
      <c r="AN10" s="5"/>
    </row>
    <row r="11" spans="1:40" x14ac:dyDescent="0.35">
      <c r="N11" s="5"/>
      <c r="O11" s="4"/>
      <c r="P11" s="4"/>
      <c r="Q11" s="4"/>
      <c r="R11" s="4"/>
      <c r="S11" s="4"/>
      <c r="T11" s="4"/>
      <c r="U11" s="4"/>
      <c r="V11" s="4"/>
      <c r="W11" s="4"/>
      <c r="X11" s="5"/>
      <c r="Y11" s="5"/>
      <c r="Z11" s="5"/>
      <c r="AA11" s="5"/>
      <c r="AB11" s="5"/>
      <c r="AC11" s="5"/>
      <c r="AD11" s="5"/>
      <c r="AE11" s="5"/>
      <c r="AF11" s="5"/>
      <c r="AG11" s="5"/>
      <c r="AH11" s="5"/>
      <c r="AI11" s="5"/>
      <c r="AJ11" s="5"/>
      <c r="AK11" s="5"/>
      <c r="AL11" s="5"/>
      <c r="AM11" s="5"/>
      <c r="AN11" s="5"/>
    </row>
    <row r="12" spans="1:40" x14ac:dyDescent="0.35">
      <c r="N12" s="5"/>
      <c r="O12" s="4"/>
      <c r="P12" s="4"/>
      <c r="Q12" s="4"/>
      <c r="R12" s="4"/>
      <c r="S12" s="4"/>
      <c r="T12" s="4"/>
      <c r="U12" s="4"/>
      <c r="V12" s="4"/>
      <c r="W12" s="4"/>
      <c r="X12" s="5"/>
      <c r="Y12" s="5"/>
      <c r="Z12" s="5"/>
      <c r="AA12" s="5"/>
      <c r="AB12" s="5"/>
      <c r="AC12" s="5"/>
      <c r="AD12" s="5"/>
      <c r="AE12" s="5"/>
      <c r="AF12" s="5"/>
      <c r="AG12" s="5"/>
      <c r="AH12" s="5"/>
      <c r="AI12" s="5"/>
      <c r="AJ12" s="5"/>
      <c r="AK12" s="5"/>
      <c r="AL12" s="5"/>
      <c r="AM12" s="5"/>
      <c r="AN12" s="5"/>
    </row>
    <row r="13" spans="1:40" x14ac:dyDescent="0.35">
      <c r="N13" s="5"/>
      <c r="O13" s="4"/>
      <c r="P13" s="4"/>
      <c r="Q13" s="4"/>
      <c r="R13" s="4"/>
      <c r="S13" s="4"/>
      <c r="T13" s="4"/>
      <c r="U13" s="4"/>
      <c r="V13" s="4"/>
      <c r="W13" s="4"/>
      <c r="X13" s="5"/>
      <c r="Y13" s="5"/>
      <c r="Z13" s="5"/>
      <c r="AA13" s="5"/>
      <c r="AB13" s="5"/>
      <c r="AC13" s="5"/>
      <c r="AD13" s="5"/>
      <c r="AE13" s="5"/>
      <c r="AF13" s="5"/>
      <c r="AG13" s="5"/>
      <c r="AH13" s="5"/>
      <c r="AI13" s="5"/>
      <c r="AJ13" s="5"/>
      <c r="AK13" s="5"/>
      <c r="AL13" s="5"/>
      <c r="AM13" s="5"/>
      <c r="AN13" s="5"/>
    </row>
    <row r="14" spans="1:40" x14ac:dyDescent="0.35">
      <c r="N14" s="5"/>
      <c r="O14" s="4"/>
      <c r="P14" s="4"/>
      <c r="Q14" s="4"/>
      <c r="R14" s="4"/>
      <c r="S14" s="4"/>
      <c r="T14" s="4"/>
      <c r="U14" s="4"/>
      <c r="V14" s="4"/>
      <c r="W14" s="4"/>
      <c r="X14" s="5"/>
      <c r="Y14" s="5"/>
      <c r="Z14" s="5"/>
      <c r="AA14" s="5"/>
      <c r="AB14" s="5"/>
      <c r="AC14" s="5"/>
      <c r="AD14" s="5"/>
      <c r="AE14" s="5"/>
      <c r="AF14" s="5"/>
      <c r="AG14" s="5"/>
      <c r="AH14" s="5"/>
      <c r="AI14" s="5"/>
      <c r="AJ14" s="5"/>
      <c r="AK14" s="5"/>
      <c r="AL14" s="5"/>
      <c r="AM14" s="5"/>
      <c r="AN14" s="5"/>
    </row>
    <row r="15" spans="1:40" x14ac:dyDescent="0.35">
      <c r="N15" s="5"/>
      <c r="O15" s="4"/>
      <c r="P15" s="4"/>
      <c r="Q15" s="4"/>
      <c r="R15" s="4"/>
      <c r="S15" s="4"/>
      <c r="T15" s="4"/>
      <c r="U15" s="4"/>
      <c r="V15" s="4"/>
      <c r="W15" s="4"/>
      <c r="X15" s="5"/>
      <c r="Y15" s="5"/>
      <c r="Z15" s="5"/>
      <c r="AA15" s="5"/>
      <c r="AB15" s="5"/>
      <c r="AC15" s="5"/>
      <c r="AD15" s="5"/>
      <c r="AE15" s="5"/>
      <c r="AF15" s="5"/>
      <c r="AG15" s="5"/>
      <c r="AH15" s="5"/>
      <c r="AI15" s="5"/>
      <c r="AJ15" s="5"/>
      <c r="AK15" s="5"/>
      <c r="AL15" s="5"/>
      <c r="AM15" s="5"/>
      <c r="AN15" s="5"/>
    </row>
    <row r="16" spans="1:40" x14ac:dyDescent="0.35">
      <c r="N16" s="5"/>
      <c r="O16" s="4"/>
      <c r="P16" s="4"/>
      <c r="Q16" s="4"/>
      <c r="R16" s="4"/>
      <c r="S16" s="4"/>
      <c r="T16" s="4"/>
      <c r="U16" s="4"/>
      <c r="V16" s="4"/>
      <c r="W16" s="4"/>
      <c r="X16" s="5"/>
      <c r="Y16" s="5"/>
      <c r="Z16" s="5"/>
      <c r="AA16" s="5"/>
      <c r="AB16" s="5"/>
      <c r="AC16" s="5"/>
      <c r="AD16" s="5"/>
      <c r="AE16" s="5"/>
      <c r="AF16" s="5"/>
      <c r="AG16" s="5"/>
      <c r="AH16" s="5"/>
      <c r="AI16" s="5"/>
      <c r="AJ16" s="5"/>
      <c r="AK16" s="5"/>
      <c r="AL16" s="5"/>
      <c r="AM16" s="5"/>
      <c r="AN16" s="5"/>
    </row>
    <row r="17" spans="14:40" x14ac:dyDescent="0.35">
      <c r="N17" s="5"/>
      <c r="O17" s="4"/>
      <c r="P17" s="4"/>
      <c r="Q17" s="4"/>
      <c r="R17" s="4"/>
      <c r="S17" s="4"/>
      <c r="T17" s="4"/>
      <c r="U17" s="4"/>
      <c r="V17" s="4"/>
      <c r="W17" s="4"/>
      <c r="X17" s="5"/>
      <c r="Y17" s="5"/>
      <c r="Z17" s="5"/>
      <c r="AA17" s="5"/>
      <c r="AB17" s="5"/>
      <c r="AC17" s="5"/>
      <c r="AD17" s="5"/>
      <c r="AE17" s="5"/>
      <c r="AF17" s="5"/>
      <c r="AG17" s="5"/>
      <c r="AH17" s="5"/>
      <c r="AI17" s="5"/>
      <c r="AJ17" s="5"/>
      <c r="AK17" s="5"/>
      <c r="AL17" s="5"/>
      <c r="AM17" s="5"/>
      <c r="AN17" s="5"/>
    </row>
    <row r="18" spans="14:40" x14ac:dyDescent="0.35">
      <c r="N18" s="5"/>
      <c r="O18" s="4"/>
      <c r="P18" s="4"/>
      <c r="Q18" s="4"/>
      <c r="R18" s="4"/>
      <c r="S18" s="4"/>
      <c r="T18" s="4"/>
      <c r="U18" s="4"/>
      <c r="V18" s="4"/>
      <c r="W18" s="4"/>
      <c r="X18" s="5"/>
      <c r="Y18" s="5"/>
      <c r="Z18" s="5"/>
      <c r="AA18" s="5"/>
      <c r="AB18" s="5"/>
      <c r="AC18" s="5"/>
      <c r="AD18" s="5"/>
      <c r="AE18" s="5"/>
      <c r="AF18" s="5"/>
      <c r="AG18" s="5"/>
      <c r="AH18" s="5"/>
      <c r="AI18" s="5"/>
      <c r="AJ18" s="5"/>
      <c r="AK18" s="5"/>
      <c r="AL18" s="5"/>
      <c r="AM18" s="5"/>
      <c r="AN18" s="5"/>
    </row>
    <row r="19" spans="14:40" x14ac:dyDescent="0.35">
      <c r="N19" s="5"/>
      <c r="O19" s="4"/>
      <c r="P19" s="4"/>
      <c r="Q19" s="4"/>
      <c r="R19" s="4"/>
      <c r="S19" s="4"/>
      <c r="T19" s="4"/>
      <c r="U19" s="4"/>
      <c r="V19" s="4"/>
      <c r="W19" s="4"/>
      <c r="X19" s="5"/>
      <c r="Y19" s="5"/>
      <c r="Z19" s="5"/>
      <c r="AA19" s="5"/>
      <c r="AB19" s="5"/>
      <c r="AC19" s="5"/>
      <c r="AD19" s="5"/>
      <c r="AE19" s="5"/>
      <c r="AF19" s="5"/>
      <c r="AG19" s="5"/>
      <c r="AH19" s="5"/>
      <c r="AI19" s="5"/>
      <c r="AJ19" s="5"/>
      <c r="AK19" s="5"/>
      <c r="AL19" s="5"/>
      <c r="AM19" s="5"/>
      <c r="AN19" s="5"/>
    </row>
    <row r="20" spans="14:40" x14ac:dyDescent="0.35">
      <c r="N20" s="5"/>
      <c r="O20" s="4"/>
      <c r="P20" s="4"/>
      <c r="Q20" s="4"/>
      <c r="R20" s="4"/>
      <c r="S20" s="4"/>
      <c r="T20" s="4"/>
      <c r="U20" s="4"/>
      <c r="V20" s="4"/>
      <c r="W20" s="4"/>
      <c r="X20" s="5"/>
      <c r="Y20" s="5"/>
      <c r="Z20" s="5"/>
      <c r="AA20" s="5"/>
      <c r="AB20" s="5"/>
      <c r="AC20" s="5"/>
      <c r="AD20" s="5"/>
      <c r="AE20" s="5"/>
      <c r="AF20" s="5"/>
      <c r="AG20" s="5"/>
      <c r="AH20" s="5"/>
      <c r="AI20" s="5"/>
      <c r="AJ20" s="5"/>
      <c r="AK20" s="5"/>
      <c r="AL20" s="5"/>
      <c r="AM20" s="5"/>
      <c r="AN20" s="5"/>
    </row>
    <row r="21" spans="14:40" x14ac:dyDescent="0.35">
      <c r="N21" s="5"/>
      <c r="O21" s="4"/>
      <c r="P21" s="4"/>
      <c r="Q21" s="4"/>
      <c r="R21" s="4"/>
      <c r="S21" s="4"/>
      <c r="T21" s="4"/>
      <c r="U21" s="4"/>
      <c r="V21" s="4"/>
      <c r="W21" s="4"/>
      <c r="X21" s="5"/>
      <c r="Y21" s="5"/>
      <c r="Z21" s="5"/>
      <c r="AA21" s="5"/>
      <c r="AB21" s="5"/>
      <c r="AC21" s="5"/>
      <c r="AD21" s="5"/>
      <c r="AE21" s="5"/>
      <c r="AF21" s="5"/>
      <c r="AG21" s="5"/>
      <c r="AH21" s="5"/>
      <c r="AI21" s="5"/>
      <c r="AJ21" s="5"/>
      <c r="AK21" s="5"/>
      <c r="AL21" s="5"/>
      <c r="AM21" s="5"/>
      <c r="AN21" s="5"/>
    </row>
    <row r="22" spans="14:40" x14ac:dyDescent="0.35">
      <c r="N22" s="5"/>
      <c r="O22" s="4"/>
      <c r="P22" s="4"/>
      <c r="Q22" s="4"/>
      <c r="R22" s="4"/>
      <c r="S22" s="4"/>
      <c r="T22" s="4"/>
      <c r="U22" s="4"/>
      <c r="V22" s="4"/>
      <c r="W22" s="4"/>
      <c r="X22" s="5"/>
      <c r="Y22" s="5"/>
      <c r="Z22" s="5"/>
      <c r="AA22" s="5"/>
      <c r="AB22" s="5"/>
      <c r="AC22" s="5"/>
      <c r="AD22" s="5"/>
      <c r="AE22" s="5"/>
      <c r="AF22" s="5"/>
      <c r="AG22" s="5"/>
      <c r="AH22" s="5"/>
      <c r="AI22" s="5"/>
      <c r="AJ22" s="5"/>
      <c r="AK22" s="5"/>
      <c r="AL22" s="5"/>
      <c r="AM22" s="5"/>
      <c r="AN22" s="5"/>
    </row>
    <row r="23" spans="14:40" x14ac:dyDescent="0.35">
      <c r="N23" s="5"/>
      <c r="O23" s="4"/>
      <c r="P23" s="4"/>
      <c r="Q23" s="4"/>
      <c r="R23" s="4"/>
      <c r="S23" s="4"/>
      <c r="T23" s="4"/>
      <c r="U23" s="4"/>
      <c r="V23" s="4"/>
      <c r="W23" s="4"/>
      <c r="X23" s="5"/>
      <c r="Y23" s="5"/>
      <c r="Z23" s="5"/>
      <c r="AA23" s="5"/>
      <c r="AB23" s="5"/>
      <c r="AC23" s="5"/>
      <c r="AD23" s="5"/>
      <c r="AE23" s="5"/>
      <c r="AF23" s="5"/>
      <c r="AG23" s="5"/>
      <c r="AH23" s="5"/>
      <c r="AI23" s="5"/>
      <c r="AJ23" s="5"/>
      <c r="AK23" s="5"/>
      <c r="AL23" s="5"/>
      <c r="AM23" s="5"/>
      <c r="AN23" s="5"/>
    </row>
    <row r="24" spans="14:40" x14ac:dyDescent="0.35">
      <c r="N24" s="5"/>
      <c r="O24" s="4"/>
      <c r="P24" s="4"/>
      <c r="Q24" s="4"/>
      <c r="R24" s="4"/>
      <c r="S24" s="4"/>
      <c r="T24" s="4"/>
      <c r="U24" s="4"/>
      <c r="V24" s="4"/>
      <c r="W24" s="4"/>
      <c r="X24" s="5"/>
      <c r="Y24" s="5"/>
      <c r="Z24" s="5"/>
      <c r="AA24" s="5"/>
      <c r="AB24" s="5"/>
      <c r="AC24" s="5"/>
      <c r="AD24" s="5"/>
      <c r="AE24" s="5"/>
      <c r="AF24" s="5"/>
      <c r="AG24" s="5"/>
      <c r="AH24" s="5"/>
      <c r="AI24" s="5"/>
      <c r="AJ24" s="5"/>
      <c r="AK24" s="5"/>
      <c r="AL24" s="5"/>
      <c r="AM24" s="5"/>
      <c r="AN24" s="5"/>
    </row>
    <row r="25" spans="14:40" x14ac:dyDescent="0.35">
      <c r="N25" s="5"/>
      <c r="O25" s="4"/>
      <c r="P25" s="4"/>
      <c r="Q25" s="4"/>
      <c r="R25" s="4"/>
      <c r="S25" s="4"/>
      <c r="T25" s="4"/>
      <c r="U25" s="4"/>
      <c r="V25" s="4"/>
      <c r="W25" s="4"/>
      <c r="X25" s="5"/>
      <c r="Y25" s="5"/>
      <c r="Z25" s="5"/>
      <c r="AA25" s="5"/>
      <c r="AB25" s="5"/>
      <c r="AC25" s="5"/>
      <c r="AD25" s="5"/>
      <c r="AE25" s="5"/>
      <c r="AF25" s="5"/>
      <c r="AG25" s="5"/>
      <c r="AH25" s="5"/>
      <c r="AI25" s="5"/>
      <c r="AJ25" s="5"/>
      <c r="AK25" s="5"/>
      <c r="AL25" s="5"/>
      <c r="AM25" s="5"/>
      <c r="AN25" s="5"/>
    </row>
    <row r="26" spans="14:40" x14ac:dyDescent="0.35">
      <c r="N26" s="5"/>
      <c r="O26" s="4"/>
      <c r="P26" s="4"/>
      <c r="Q26" s="4"/>
      <c r="R26" s="4"/>
      <c r="S26" s="4"/>
      <c r="T26" s="4"/>
      <c r="U26" s="4"/>
      <c r="V26" s="4"/>
      <c r="W26" s="4"/>
      <c r="X26" s="5"/>
      <c r="Y26" s="5"/>
      <c r="Z26" s="5"/>
      <c r="AA26" s="5"/>
      <c r="AB26" s="5"/>
      <c r="AC26" s="5"/>
      <c r="AD26" s="5"/>
      <c r="AE26" s="5"/>
      <c r="AF26" s="5"/>
      <c r="AG26" s="5"/>
      <c r="AH26" s="5"/>
      <c r="AI26" s="5"/>
      <c r="AJ26" s="5"/>
      <c r="AK26" s="5"/>
      <c r="AL26" s="5"/>
      <c r="AM26" s="5"/>
      <c r="AN26" s="5"/>
    </row>
    <row r="27" spans="14:40" ht="12.5" customHeight="1" x14ac:dyDescent="0.35">
      <c r="N27" s="5"/>
      <c r="O27" s="4"/>
      <c r="P27" s="4"/>
      <c r="Q27" s="4"/>
      <c r="R27" s="4"/>
      <c r="S27" s="4"/>
      <c r="T27" s="4"/>
      <c r="U27" s="4"/>
      <c r="V27" s="4"/>
      <c r="W27" s="4"/>
      <c r="X27" s="5"/>
      <c r="Y27" s="5"/>
      <c r="Z27" s="5"/>
      <c r="AA27" s="5"/>
      <c r="AB27" s="5"/>
      <c r="AC27" s="5"/>
      <c r="AD27" s="5"/>
      <c r="AE27" s="5"/>
      <c r="AF27" s="5"/>
      <c r="AG27" s="5"/>
      <c r="AH27" s="5"/>
      <c r="AI27" s="5"/>
      <c r="AJ27" s="5"/>
      <c r="AK27" s="5"/>
      <c r="AL27" s="5"/>
      <c r="AM27" s="5"/>
      <c r="AN27" s="5"/>
    </row>
    <row r="28" spans="14:40" hidden="1" x14ac:dyDescent="0.35">
      <c r="N28" s="5"/>
      <c r="O28" s="4"/>
      <c r="P28" s="4"/>
      <c r="Q28" s="4"/>
      <c r="R28" s="4"/>
      <c r="S28" s="4"/>
      <c r="T28" s="4"/>
      <c r="U28" s="4"/>
      <c r="V28" s="4"/>
      <c r="W28" s="4"/>
      <c r="X28" s="5"/>
      <c r="Y28" s="5"/>
      <c r="Z28" s="5"/>
      <c r="AA28" s="5"/>
      <c r="AB28" s="5"/>
      <c r="AC28" s="5"/>
      <c r="AD28" s="5"/>
      <c r="AE28" s="5"/>
      <c r="AF28" s="5"/>
      <c r="AG28" s="5"/>
      <c r="AH28" s="5"/>
      <c r="AI28" s="5"/>
      <c r="AJ28" s="5"/>
      <c r="AK28" s="5"/>
      <c r="AL28" s="5"/>
      <c r="AM28" s="5"/>
      <c r="AN28" s="5"/>
    </row>
    <row r="29" spans="14:40" hidden="1" x14ac:dyDescent="0.35">
      <c r="N29" s="5"/>
      <c r="O29" s="4"/>
      <c r="P29" s="4"/>
      <c r="Q29" s="4"/>
      <c r="R29" s="4"/>
      <c r="S29" s="4"/>
      <c r="T29" s="4"/>
      <c r="U29" s="4"/>
      <c r="V29" s="4"/>
      <c r="W29" s="4"/>
      <c r="X29" s="5"/>
      <c r="Y29" s="5"/>
      <c r="Z29" s="5"/>
      <c r="AA29" s="5"/>
      <c r="AB29" s="5"/>
      <c r="AC29" s="5"/>
      <c r="AD29" s="5"/>
      <c r="AE29" s="5"/>
      <c r="AF29" s="5"/>
      <c r="AG29" s="5"/>
      <c r="AH29" s="5"/>
      <c r="AI29" s="5"/>
      <c r="AJ29" s="5"/>
      <c r="AK29" s="5"/>
      <c r="AL29" s="5"/>
      <c r="AM29" s="5"/>
      <c r="AN29" s="5"/>
    </row>
    <row r="30" spans="14:40" hidden="1" x14ac:dyDescent="0.35">
      <c r="N30" s="5"/>
      <c r="O30" s="4"/>
      <c r="P30" s="4"/>
      <c r="Q30" s="4"/>
      <c r="R30" s="4"/>
      <c r="S30" s="4"/>
      <c r="T30" s="4"/>
      <c r="U30" s="4"/>
      <c r="V30" s="4"/>
      <c r="W30" s="4"/>
      <c r="X30" s="5"/>
      <c r="Y30" s="5"/>
      <c r="Z30" s="5"/>
      <c r="AA30" s="5"/>
      <c r="AB30" s="5"/>
      <c r="AC30" s="5"/>
      <c r="AD30" s="5"/>
      <c r="AE30" s="5"/>
      <c r="AF30" s="5"/>
      <c r="AG30" s="5"/>
      <c r="AH30" s="5"/>
      <c r="AI30" s="5"/>
      <c r="AJ30" s="5"/>
      <c r="AK30" s="5"/>
      <c r="AL30" s="5"/>
      <c r="AM30" s="5"/>
      <c r="AN30" s="5"/>
    </row>
    <row r="31" spans="14:40" x14ac:dyDescent="0.35">
      <c r="N31" s="5"/>
      <c r="O31" s="4"/>
      <c r="P31" s="4"/>
      <c r="Q31" s="4"/>
      <c r="R31" s="4"/>
      <c r="S31" s="4"/>
      <c r="T31" s="4"/>
      <c r="U31" s="4"/>
      <c r="V31" s="4"/>
      <c r="W31" s="4"/>
      <c r="X31" s="5"/>
      <c r="Y31" s="5"/>
      <c r="Z31" s="5"/>
      <c r="AA31" s="5"/>
      <c r="AB31" s="5"/>
      <c r="AC31" s="5"/>
      <c r="AD31" s="5"/>
      <c r="AE31" s="5"/>
      <c r="AF31" s="5"/>
      <c r="AG31" s="5"/>
      <c r="AH31" s="5"/>
      <c r="AI31" s="5"/>
      <c r="AJ31" s="5"/>
      <c r="AK31" s="5"/>
      <c r="AL31" s="5"/>
      <c r="AM31" s="5"/>
      <c r="AN31" s="5"/>
    </row>
    <row r="32" spans="14:40" ht="26" x14ac:dyDescent="0.6">
      <c r="N32" s="5"/>
      <c r="O32" s="4"/>
      <c r="P32" s="4"/>
      <c r="Q32" s="4"/>
      <c r="R32" s="4"/>
      <c r="S32" s="4"/>
      <c r="T32" s="4"/>
      <c r="U32" s="6" t="s">
        <v>0</v>
      </c>
      <c r="V32" s="6" t="s">
        <v>4</v>
      </c>
      <c r="W32" s="4"/>
      <c r="X32" s="5"/>
      <c r="Y32" s="5"/>
      <c r="Z32" s="5"/>
      <c r="AA32" s="5"/>
      <c r="AB32" s="5"/>
      <c r="AC32" s="5"/>
      <c r="AD32" s="5"/>
      <c r="AE32" s="5"/>
      <c r="AF32" s="5"/>
      <c r="AG32" s="5"/>
      <c r="AH32" s="5"/>
      <c r="AI32" s="5"/>
      <c r="AJ32" s="5"/>
      <c r="AK32" s="5"/>
      <c r="AL32" s="5"/>
      <c r="AM32" s="5"/>
      <c r="AN32" s="5"/>
    </row>
    <row r="33" spans="14:40" ht="26" x14ac:dyDescent="0.6">
      <c r="N33" s="5"/>
      <c r="O33" s="4"/>
      <c r="P33" s="4"/>
      <c r="Q33" s="4"/>
      <c r="R33" s="4"/>
      <c r="S33" s="4"/>
      <c r="T33" s="4"/>
      <c r="U33" s="6" t="str">
        <f>A2</f>
        <v>Dogecoin</v>
      </c>
      <c r="V33" s="6">
        <f>B2</f>
        <v>1658004162</v>
      </c>
      <c r="W33" s="4"/>
      <c r="X33" s="5"/>
      <c r="Y33" s="5"/>
      <c r="Z33" s="5"/>
      <c r="AA33" s="5"/>
      <c r="AB33" s="5"/>
      <c r="AC33" s="5"/>
      <c r="AD33" s="5"/>
      <c r="AE33" s="5"/>
      <c r="AF33" s="5"/>
      <c r="AG33" s="5"/>
      <c r="AH33" s="5"/>
      <c r="AI33" s="5"/>
      <c r="AJ33" s="5"/>
      <c r="AK33" s="5"/>
      <c r="AL33" s="5"/>
      <c r="AM33" s="5"/>
      <c r="AN33" s="5"/>
    </row>
    <row r="34" spans="14:40" ht="26" x14ac:dyDescent="0.6">
      <c r="N34" s="5"/>
      <c r="O34" s="4"/>
      <c r="P34" s="4"/>
      <c r="Q34" s="4"/>
      <c r="R34" s="4"/>
      <c r="S34" s="4"/>
      <c r="T34" s="4"/>
      <c r="U34" s="6" t="str">
        <f>A3</f>
        <v>Tether</v>
      </c>
      <c r="V34" s="6">
        <f>B3</f>
        <v>133380001774</v>
      </c>
      <c r="W34" s="4"/>
      <c r="X34" s="5"/>
      <c r="Y34" s="5"/>
      <c r="Z34" s="5"/>
      <c r="AA34" s="5"/>
      <c r="AB34" s="5"/>
      <c r="AC34" s="5"/>
      <c r="AD34" s="5"/>
      <c r="AE34" s="5"/>
      <c r="AF34" s="5"/>
      <c r="AG34" s="5"/>
      <c r="AH34" s="5"/>
      <c r="AI34" s="5"/>
      <c r="AJ34" s="5"/>
      <c r="AK34" s="5"/>
      <c r="AL34" s="5"/>
      <c r="AM34" s="5"/>
      <c r="AN34" s="5"/>
    </row>
    <row r="35" spans="14:40" ht="26" x14ac:dyDescent="0.6">
      <c r="N35" s="5"/>
      <c r="O35" s="4"/>
      <c r="P35" s="4"/>
      <c r="Q35" s="4"/>
      <c r="R35" s="4"/>
      <c r="S35" s="4"/>
      <c r="T35" s="4"/>
      <c r="U35" s="6" t="str">
        <f>A4</f>
        <v>TRON</v>
      </c>
      <c r="V35" s="6">
        <f>B4</f>
        <v>810662274</v>
      </c>
      <c r="W35" s="4"/>
      <c r="X35" s="5"/>
      <c r="Y35" s="5"/>
      <c r="Z35" s="5"/>
      <c r="AA35" s="5"/>
      <c r="AB35" s="5"/>
      <c r="AC35" s="5"/>
      <c r="AD35" s="5"/>
      <c r="AE35" s="5"/>
      <c r="AF35" s="5"/>
      <c r="AG35" s="5"/>
      <c r="AH35" s="5"/>
      <c r="AI35" s="5"/>
      <c r="AJ35" s="5"/>
      <c r="AK35" s="5"/>
      <c r="AL35" s="5"/>
      <c r="AM35" s="5"/>
      <c r="AN35" s="5"/>
    </row>
    <row r="36" spans="14:40" ht="26" x14ac:dyDescent="0.6">
      <c r="N36" s="5"/>
      <c r="O36" s="4"/>
      <c r="P36" s="4"/>
      <c r="Q36" s="4"/>
      <c r="R36" s="4"/>
      <c r="S36" s="4"/>
      <c r="T36" s="4"/>
      <c r="U36" s="6" t="str">
        <f>A5</f>
        <v>USDC</v>
      </c>
      <c r="V36" s="6">
        <f>B5</f>
        <v>57775900032</v>
      </c>
      <c r="W36" s="4"/>
      <c r="X36" s="5"/>
      <c r="Y36" s="5"/>
      <c r="Z36" s="5"/>
      <c r="AA36" s="5"/>
      <c r="AB36" s="5"/>
      <c r="AC36" s="5"/>
      <c r="AD36" s="5"/>
      <c r="AE36" s="5"/>
      <c r="AF36" s="5"/>
      <c r="AG36" s="5"/>
      <c r="AH36" s="5"/>
      <c r="AI36" s="5"/>
      <c r="AJ36" s="5"/>
      <c r="AK36" s="5"/>
      <c r="AL36" s="5"/>
      <c r="AM36" s="5"/>
      <c r="AN36" s="5"/>
    </row>
    <row r="37" spans="14:40" ht="26" x14ac:dyDescent="0.6">
      <c r="N37" s="5"/>
      <c r="O37" s="4"/>
      <c r="P37" s="4"/>
      <c r="Q37" s="4"/>
      <c r="R37" s="4"/>
      <c r="S37" s="4"/>
      <c r="T37" s="4"/>
      <c r="U37" s="6" t="str">
        <f>A6</f>
        <v>XRP</v>
      </c>
      <c r="V37" s="6">
        <f>B6</f>
        <v>2057869941</v>
      </c>
      <c r="W37" s="4"/>
      <c r="X37" s="5"/>
      <c r="Y37" s="5"/>
      <c r="Z37" s="5"/>
      <c r="AA37" s="5"/>
      <c r="AB37" s="5"/>
      <c r="AC37" s="5"/>
      <c r="AD37" s="5"/>
      <c r="AE37" s="5"/>
      <c r="AF37" s="5"/>
      <c r="AG37" s="5"/>
      <c r="AH37" s="5"/>
      <c r="AI37" s="5"/>
      <c r="AJ37" s="5"/>
      <c r="AK37" s="5"/>
      <c r="AL37" s="5"/>
      <c r="AM37" s="5"/>
      <c r="AN37" s="5"/>
    </row>
    <row r="38" spans="14:40" ht="26" x14ac:dyDescent="0.6">
      <c r="N38" s="5"/>
      <c r="O38" s="4"/>
      <c r="P38" s="4"/>
      <c r="Q38" s="4"/>
      <c r="R38" s="4"/>
      <c r="S38" s="4"/>
      <c r="T38" s="4"/>
      <c r="U38" s="6" t="s">
        <v>1575</v>
      </c>
      <c r="V38" s="6">
        <f>D2-D3</f>
        <v>76475803544</v>
      </c>
      <c r="W38" s="4"/>
      <c r="X38" s="5"/>
      <c r="Y38" s="5"/>
      <c r="Z38" s="5"/>
      <c r="AA38" s="5"/>
      <c r="AB38" s="5"/>
      <c r="AC38" s="5"/>
      <c r="AD38" s="5"/>
      <c r="AE38" s="5"/>
      <c r="AF38" s="5"/>
      <c r="AG38" s="5"/>
      <c r="AH38" s="5"/>
      <c r="AI38" s="5"/>
      <c r="AJ38" s="5"/>
      <c r="AK38" s="5"/>
      <c r="AL38" s="5"/>
      <c r="AM38" s="5"/>
      <c r="AN38" s="5"/>
    </row>
    <row r="39" spans="14:40" x14ac:dyDescent="0.35">
      <c r="N39" s="5"/>
      <c r="O39" s="4"/>
      <c r="P39" s="4"/>
      <c r="Q39" s="4"/>
      <c r="R39" s="4"/>
      <c r="S39" s="4"/>
      <c r="T39" s="4"/>
      <c r="U39" s="4"/>
      <c r="V39" s="4"/>
      <c r="W39" s="4"/>
      <c r="X39" s="5"/>
      <c r="Y39" s="5"/>
      <c r="Z39" s="5"/>
      <c r="AA39" s="5"/>
      <c r="AB39" s="5"/>
      <c r="AC39" s="5"/>
      <c r="AD39" s="5"/>
      <c r="AE39" s="5"/>
      <c r="AF39" s="5"/>
      <c r="AG39" s="5"/>
      <c r="AH39" s="5"/>
      <c r="AI39" s="5"/>
      <c r="AJ39" s="5"/>
      <c r="AK39" s="5"/>
      <c r="AL39" s="5"/>
      <c r="AM39" s="5"/>
      <c r="AN39" s="5"/>
    </row>
    <row r="40" spans="14:40" x14ac:dyDescent="0.35">
      <c r="N40" s="5"/>
      <c r="O40" s="4"/>
      <c r="P40" s="4"/>
      <c r="Q40" s="4"/>
      <c r="R40" s="4"/>
      <c r="S40" s="4"/>
      <c r="T40" s="4"/>
      <c r="U40" s="4"/>
      <c r="V40" s="4"/>
      <c r="W40" s="4"/>
      <c r="X40" s="5"/>
      <c r="Y40" s="5"/>
      <c r="Z40" s="5"/>
      <c r="AA40" s="5"/>
      <c r="AB40" s="5"/>
      <c r="AC40" s="5"/>
      <c r="AD40" s="5"/>
      <c r="AE40" s="5"/>
      <c r="AF40" s="5"/>
      <c r="AG40" s="5"/>
      <c r="AH40" s="5"/>
      <c r="AI40" s="5"/>
      <c r="AJ40" s="5"/>
      <c r="AK40" s="5"/>
      <c r="AL40" s="5"/>
      <c r="AM40" s="5"/>
      <c r="AN40" s="5"/>
    </row>
    <row r="41" spans="14:40" x14ac:dyDescent="0.3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spans="14:40" x14ac:dyDescent="0.3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spans="14:40" x14ac:dyDescent="0.3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spans="14:40" x14ac:dyDescent="0.3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spans="14:40" x14ac:dyDescent="0.3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spans="14:40" x14ac:dyDescent="0.3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spans="14:40" x14ac:dyDescent="0.3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spans="14:40" x14ac:dyDescent="0.3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spans="14:40" x14ac:dyDescent="0.3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spans="14:40" x14ac:dyDescent="0.3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spans="14:40" x14ac:dyDescent="0.3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spans="14:40" x14ac:dyDescent="0.3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spans="14:40" x14ac:dyDescent="0.3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spans="14:40" x14ac:dyDescent="0.3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spans="14:40" x14ac:dyDescent="0.3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sheetData>
  <phoneticPr fontId="1"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8BD1FD-2FD6-4C85-83D2-C21B71B259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cleaned_data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Yashraj Mandloi</cp:lastModifiedBy>
  <dcterms:created xsi:type="dcterms:W3CDTF">2026-05-05T10:29:43Z</dcterms:created>
  <dcterms:modified xsi:type="dcterms:W3CDTF">2026-05-06T06:03:45Z</dcterms:modified>
</cp:coreProperties>
</file>