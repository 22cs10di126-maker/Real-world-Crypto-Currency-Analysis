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yashr\.vscode\pract\myproject\"/>
    </mc:Choice>
  </mc:AlternateContent>
  <xr:revisionPtr revIDLastSave="0" documentId="13_ncr:1_{177F74A0-B2AD-4186-AF39-446D747E648E}" xr6:coauthVersionLast="47" xr6:coauthVersionMax="47" xr10:uidLastSave="{00000000-0000-0000-0000-000000000000}"/>
  <bookViews>
    <workbookView xWindow="-110" yWindow="-110" windowWidth="19420" windowHeight="10300" activeTab="3" xr2:uid="{00000000-000D-0000-FFFF-FFFF00000000}"/>
  </bookViews>
  <sheets>
    <sheet name="raw_data" sheetId="1" r:id="rId1"/>
    <sheet name="cleaned_data" sheetId="2" r:id="rId2"/>
    <sheet name="Pivot_tables" sheetId="3" r:id="rId3"/>
    <sheet name="Dashboard" sheetId="4" r:id="rId4"/>
  </sheets>
  <definedNames>
    <definedName name="ExternalData_1" localSheetId="1" hidden="1">cleaned_data!$A$1:$L$264</definedName>
    <definedName name="Slicer_Price_Range">#N/A</definedName>
  </definedNames>
  <calcPr calcId="191029"/>
  <pivotCaches>
    <pivotCache cacheId="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4" i="3" l="1"/>
  <c r="E46" i="3" s="1"/>
  <c r="E52" i="3"/>
  <c r="E48" i="3" l="1"/>
  <c r="E50" i="3"/>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2BE10D-664E-4E5F-8CDB-630284068E6F}" keepAlive="1" name="Query - raw_data (2)" description="Connection to the 'raw_data (2)' query in the workbook." type="5" refreshedVersion="8" background="1" saveData="1">
    <dbPr connection="Provider=Microsoft.Mashup.OleDb.1;Data Source=$Workbook$;Location=&quot;raw_data (2)&quot;;Extended Properties=&quot;&quot;" command="SELECT * FROM [raw_data (2)]"/>
  </connection>
</connections>
</file>

<file path=xl/sharedStrings.xml><?xml version="1.0" encoding="utf-8"?>
<sst xmlns="http://schemas.openxmlformats.org/spreadsheetml/2006/main" count="4151" uniqueCount="2062">
  <si>
    <t>Coin Name</t>
  </si>
  <si>
    <t>Symbol</t>
  </si>
  <si>
    <t>Price (USD)</t>
  </si>
  <si>
    <t>1h Change (%)</t>
  </si>
  <si>
    <t>24h Change (%)</t>
  </si>
  <si>
    <t>7d Change (%)</t>
  </si>
  <si>
    <t>Market Cap</t>
  </si>
  <si>
    <t>Volume (24h) USD</t>
  </si>
  <si>
    <t>Circulating Supply</t>
  </si>
  <si>
    <t>Average Downfall %</t>
  </si>
  <si>
    <t>Price Range</t>
  </si>
  <si>
    <t>Bitcoin</t>
  </si>
  <si>
    <t>BTC</t>
  </si>
  <si>
    <t>$76,339.80</t>
  </si>
  <si>
    <t>0.12%</t>
  </si>
  <si>
    <t>0.33%</t>
  </si>
  <si>
    <t>2.64%</t>
  </si>
  <si>
    <t>$1,528,639,234,251</t>
  </si>
  <si>
    <t>$41,516,955,884</t>
  </si>
  <si>
    <t>20.02M</t>
  </si>
  <si>
    <t>&gt;$50</t>
  </si>
  <si>
    <t>Ethereum</t>
  </si>
  <si>
    <t>ETH</t>
  </si>
  <si>
    <t>$2,273.40</t>
  </si>
  <si>
    <t>0.08%</t>
  </si>
  <si>
    <t>0.88%</t>
  </si>
  <si>
    <t>4.03%</t>
  </si>
  <si>
    <t>$274,456,148,914</t>
  </si>
  <si>
    <t>$22,079,620,314</t>
  </si>
  <si>
    <t>120.68M</t>
  </si>
  <si>
    <t>Tether</t>
  </si>
  <si>
    <t>USDT</t>
  </si>
  <si>
    <t>$0.9996</t>
  </si>
  <si>
    <t>0.00%</t>
  </si>
  <si>
    <t>0.04%</t>
  </si>
  <si>
    <t>$189,538,725,719</t>
  </si>
  <si>
    <t>$127,735,099,684</t>
  </si>
  <si>
    <t>189.6B</t>
  </si>
  <si>
    <t>$0.5-$5</t>
  </si>
  <si>
    <t>XRP</t>
  </si>
  <si>
    <t>$1.37</t>
  </si>
  <si>
    <t>0.06%</t>
  </si>
  <si>
    <t>3.24%</t>
  </si>
  <si>
    <t>$85,110,547,351</t>
  </si>
  <si>
    <t>$2,422,986,058</t>
  </si>
  <si>
    <t>61.68B</t>
  </si>
  <si>
    <t>BNB</t>
  </si>
  <si>
    <t>$619.64</t>
  </si>
  <si>
    <t>0.01%</t>
  </si>
  <si>
    <t>0.83%</t>
  </si>
  <si>
    <t>2.92%</t>
  </si>
  <si>
    <t>$83,510,385,506</t>
  </si>
  <si>
    <t>$1,613,414,107</t>
  </si>
  <si>
    <t>134.78M</t>
  </si>
  <si>
    <t>USDC</t>
  </si>
  <si>
    <t>$0.9999</t>
  </si>
  <si>
    <t>0.03%</t>
  </si>
  <si>
    <t>$77,260,433,231</t>
  </si>
  <si>
    <t>$49,363,112,078</t>
  </si>
  <si>
    <t>77.26B</t>
  </si>
  <si>
    <t>Solana</t>
  </si>
  <si>
    <t>SOL</t>
  </si>
  <si>
    <t>$83.79</t>
  </si>
  <si>
    <t>0.07%</t>
  </si>
  <si>
    <t>0.28%</t>
  </si>
  <si>
    <t>2.94%</t>
  </si>
  <si>
    <t>$48,276,189,834</t>
  </si>
  <si>
    <t>$4,607,299,948</t>
  </si>
  <si>
    <t>576.08M</t>
  </si>
  <si>
    <t>TRON</t>
  </si>
  <si>
    <t>TRX</t>
  </si>
  <si>
    <t>$0.3235</t>
  </si>
  <si>
    <t>0.46%</t>
  </si>
  <si>
    <t>1.91%</t>
  </si>
  <si>
    <t>$30,666,672,948</t>
  </si>
  <si>
    <t>$656,480,041</t>
  </si>
  <si>
    <t>94.78B</t>
  </si>
  <si>
    <t>$0.05-$0.5</t>
  </si>
  <si>
    <t>Dogecoin</t>
  </si>
  <si>
    <t>DOGE</t>
  </si>
  <si>
    <t>$0.1074</t>
  </si>
  <si>
    <t>0.17%</t>
  </si>
  <si>
    <t>7.64%</t>
  </si>
  <si>
    <t>11.47%</t>
  </si>
  <si>
    <t>$18,238,636,948</t>
  </si>
  <si>
    <t>$4,898,756,574</t>
  </si>
  <si>
    <t>169.74B</t>
  </si>
  <si>
    <t>Hyperliquid</t>
  </si>
  <si>
    <t>HYPE</t>
  </si>
  <si>
    <t>$40.17</t>
  </si>
  <si>
    <t>0.10%</t>
  </si>
  <si>
    <t>0.19%</t>
  </si>
  <si>
    <t>2.38%</t>
  </si>
  <si>
    <t>$10,240,861,135</t>
  </si>
  <si>
    <t>$228,206,723</t>
  </si>
  <si>
    <t>254.93M</t>
  </si>
  <si>
    <t>$5-$50</t>
  </si>
  <si>
    <t>UNUS SED LEO</t>
  </si>
  <si>
    <t>LEO</t>
  </si>
  <si>
    <t>$10.37</t>
  </si>
  <si>
    <t>0.13%</t>
  </si>
  <si>
    <t>0.02%</t>
  </si>
  <si>
    <t>0.76%</t>
  </si>
  <si>
    <t>$9,550,835,296</t>
  </si>
  <si>
    <t>$481,113</t>
  </si>
  <si>
    <t>920.73M</t>
  </si>
  <si>
    <t>Bitcoin Cash</t>
  </si>
  <si>
    <t>BCH</t>
  </si>
  <si>
    <t>$447.90</t>
  </si>
  <si>
    <t>0.18%</t>
  </si>
  <si>
    <t>0.91%</t>
  </si>
  <si>
    <t>2.45%</t>
  </si>
  <si>
    <t>$8,970,586,031</t>
  </si>
  <si>
    <t>$204,749,213</t>
  </si>
  <si>
    <t>Cardano</t>
  </si>
  <si>
    <t>ADA</t>
  </si>
  <si>
    <t>$0.2468</t>
  </si>
  <si>
    <t>0.42%</t>
  </si>
  <si>
    <t>$8,934,531,650</t>
  </si>
  <si>
    <t>$562,678,331</t>
  </si>
  <si>
    <t>36.18B</t>
  </si>
  <si>
    <t>Monero</t>
  </si>
  <si>
    <t>XMR</t>
  </si>
  <si>
    <t>$379.07</t>
  </si>
  <si>
    <t>0.16%</t>
  </si>
  <si>
    <t>3.07%</t>
  </si>
  <si>
    <t>$6,992,770,799</t>
  </si>
  <si>
    <t>$108,998,949</t>
  </si>
  <si>
    <t>18.44M</t>
  </si>
  <si>
    <t>Injective</t>
  </si>
  <si>
    <t>INJ</t>
  </si>
  <si>
    <t>$3.48</t>
  </si>
  <si>
    <t>0.15%</t>
  </si>
  <si>
    <t>2.40%</t>
  </si>
  <si>
    <t>5.48%</t>
  </si>
  <si>
    <t>$347,905,411</t>
  </si>
  <si>
    <t>$63,575,492</t>
  </si>
  <si>
    <t>99.97M</t>
  </si>
  <si>
    <t>Curve DAO Token</t>
  </si>
  <si>
    <t>CRV</t>
  </si>
  <si>
    <t>$0.2309</t>
  </si>
  <si>
    <t>0.25%</t>
  </si>
  <si>
    <t>1.39%</t>
  </si>
  <si>
    <t>1.51%</t>
  </si>
  <si>
    <t>$345,854,876</t>
  </si>
  <si>
    <t>$72,020,398</t>
  </si>
  <si>
    <t>1.49B</t>
  </si>
  <si>
    <t>ether.fi</t>
  </si>
  <si>
    <t>ETHFI</t>
  </si>
  <si>
    <t>$0.4115</t>
  </si>
  <si>
    <t>0.66%</t>
  </si>
  <si>
    <t>3.08%</t>
  </si>
  <si>
    <t>9.79%</t>
  </si>
  <si>
    <t>$342,376,203</t>
  </si>
  <si>
    <t>$23,774,233</t>
  </si>
  <si>
    <t>831.96M</t>
  </si>
  <si>
    <t>Gnosis</t>
  </si>
  <si>
    <t>GNO</t>
  </si>
  <si>
    <t>$125.45</t>
  </si>
  <si>
    <t>0.65%</t>
  </si>
  <si>
    <t>0.55%</t>
  </si>
  <si>
    <t>2.36%</t>
  </si>
  <si>
    <t>$331,120,518</t>
  </si>
  <si>
    <t>$2,065,052</t>
  </si>
  <si>
    <t>2.63M</t>
  </si>
  <si>
    <t>Immutable</t>
  </si>
  <si>
    <t>IMX</t>
  </si>
  <si>
    <t>$0.1651</t>
  </si>
  <si>
    <t>0.58%</t>
  </si>
  <si>
    <t>7.25%</t>
  </si>
  <si>
    <t>$330,233,835</t>
  </si>
  <si>
    <t>$21,750,114</t>
  </si>
  <si>
    <t>2B</t>
  </si>
  <si>
    <t>Zebec Network</t>
  </si>
  <si>
    <t>ZBCN</t>
  </si>
  <si>
    <t>$0.003266</t>
  </si>
  <si>
    <t>1.31%</t>
  </si>
  <si>
    <t>1.06%</t>
  </si>
  <si>
    <t>11.36%</t>
  </si>
  <si>
    <t>$326,618,165</t>
  </si>
  <si>
    <t>$10,089,436</t>
  </si>
  <si>
    <t>99.99B</t>
  </si>
  <si>
    <t>$0-$0.05</t>
  </si>
  <si>
    <t>Decred</t>
  </si>
  <si>
    <t>DCR</t>
  </si>
  <si>
    <t>$18.73</t>
  </si>
  <si>
    <t>7.09%</t>
  </si>
  <si>
    <t>$325,924,089</t>
  </si>
  <si>
    <t>$1,718,582</t>
  </si>
  <si>
    <t>17.39M</t>
  </si>
  <si>
    <t>Monad</t>
  </si>
  <si>
    <t>MON</t>
  </si>
  <si>
    <t>$0.02726</t>
  </si>
  <si>
    <t>0.75%</t>
  </si>
  <si>
    <t>6.42%</t>
  </si>
  <si>
    <t>20.00%</t>
  </si>
  <si>
    <t>$322,394,095</t>
  </si>
  <si>
    <t>$91,616,564</t>
  </si>
  <si>
    <t>11.82B</t>
  </si>
  <si>
    <t>Bitcoin SV</t>
  </si>
  <si>
    <t>BSV</t>
  </si>
  <si>
    <t>$15.94</t>
  </si>
  <si>
    <t>0.14%</t>
  </si>
  <si>
    <t>2.84%</t>
  </si>
  <si>
    <t>0.27%</t>
  </si>
  <si>
    <t>$319,182,732</t>
  </si>
  <si>
    <t>$12,306,230</t>
  </si>
  <si>
    <t>Celestia</t>
  </si>
  <si>
    <t>TIA</t>
  </si>
  <si>
    <t>$0.3499</t>
  </si>
  <si>
    <t>4.59%</t>
  </si>
  <si>
    <t>4.14%</t>
  </si>
  <si>
    <t>$318,901,122</t>
  </si>
  <si>
    <t>$40,038,559</t>
  </si>
  <si>
    <t>911.14M</t>
  </si>
  <si>
    <t>Lido DAO</t>
  </si>
  <si>
    <t>LDO</t>
  </si>
  <si>
    <t>$0.3753</t>
  </si>
  <si>
    <t>3.97%</t>
  </si>
  <si>
    <t>2.16%</t>
  </si>
  <si>
    <t>$318,722,810</t>
  </si>
  <si>
    <t>$72,635,604</t>
  </si>
  <si>
    <t>849.19M</t>
  </si>
  <si>
    <t>BitTorrent [New]</t>
  </si>
  <si>
    <t>BTT</t>
  </si>
  <si>
    <t>$0.063204</t>
  </si>
  <si>
    <t>1.22%</t>
  </si>
  <si>
    <t>$316,264,559</t>
  </si>
  <si>
    <t>$5,563,195</t>
  </si>
  <si>
    <t>987.03T</t>
  </si>
  <si>
    <t>FLOKI</t>
  </si>
  <si>
    <t>$0.00003274</t>
  </si>
  <si>
    <t>0.43%</t>
  </si>
  <si>
    <t>2.25%</t>
  </si>
  <si>
    <t>$312,273,665</t>
  </si>
  <si>
    <t>$52,369,119</t>
  </si>
  <si>
    <t>9.53T</t>
  </si>
  <si>
    <t>AINFT</t>
  </si>
  <si>
    <t>NFT</t>
  </si>
  <si>
    <t>$0.063120</t>
  </si>
  <si>
    <t>1.13%</t>
  </si>
  <si>
    <t>6.40%</t>
  </si>
  <si>
    <t>$308,975,202</t>
  </si>
  <si>
    <t>$10,612,151</t>
  </si>
  <si>
    <t>990.1T</t>
  </si>
  <si>
    <t>Conflux</t>
  </si>
  <si>
    <t>CFX</t>
  </si>
  <si>
    <t>$0.05863</t>
  </si>
  <si>
    <t>1.82%</t>
  </si>
  <si>
    <t>$305,175,223</t>
  </si>
  <si>
    <t>$23,452,779</t>
  </si>
  <si>
    <t>5.2B</t>
  </si>
  <si>
    <t>Rain</t>
  </si>
  <si>
    <t>RAIN</t>
  </si>
  <si>
    <t>$0.007874</t>
  </si>
  <si>
    <t>0.41%</t>
  </si>
  <si>
    <t>5.63%</t>
  </si>
  <si>
    <t>2.61%</t>
  </si>
  <si>
    <t>$3,766,877,921</t>
  </si>
  <si>
    <t>$18,854,931</t>
  </si>
  <si>
    <t>478.38B</t>
  </si>
  <si>
    <t>HTX</t>
  </si>
  <si>
    <t>$0.051830</t>
  </si>
  <si>
    <t>$1,657,490,427</t>
  </si>
  <si>
    <t>$16,898,107</t>
  </si>
  <si>
    <t>905.7T</t>
  </si>
  <si>
    <t>Ondo US Dollar Yield</t>
  </si>
  <si>
    <t>USDY</t>
  </si>
  <si>
    <t>$1.12</t>
  </si>
  <si>
    <t>0.09%</t>
  </si>
  <si>
    <t>$1,325,414,264</t>
  </si>
  <si>
    <t>$638,817</t>
  </si>
  <si>
    <t>1.17B</t>
  </si>
  <si>
    <t>c8ntinuum</t>
  </si>
  <si>
    <t>CTM</t>
  </si>
  <si>
    <t>$0.2099</t>
  </si>
  <si>
    <t>0.39%</t>
  </si>
  <si>
    <t>0.26%</t>
  </si>
  <si>
    <t>4.27%</t>
  </si>
  <si>
    <t>$935,842,740</t>
  </si>
  <si>
    <t>$2,576,244</t>
  </si>
  <si>
    <t>4.45B</t>
  </si>
  <si>
    <t>Jupiter Perps LP</t>
  </si>
  <si>
    <t>JLP</t>
  </si>
  <si>
    <t>$3.85</t>
  </si>
  <si>
    <t>0.05%</t>
  </si>
  <si>
    <t>1.71%</t>
  </si>
  <si>
    <t>$911,294,711</t>
  </si>
  <si>
    <t>$5,799,359</t>
  </si>
  <si>
    <t>236.64M</t>
  </si>
  <si>
    <t>Beldex</t>
  </si>
  <si>
    <t>BDX</t>
  </si>
  <si>
    <t>$0.07996</t>
  </si>
  <si>
    <t>0.11%</t>
  </si>
  <si>
    <t>0.31%</t>
  </si>
  <si>
    <t>$618,748,275</t>
  </si>
  <si>
    <t>$12,844,559</t>
  </si>
  <si>
    <t>7.73B</t>
  </si>
  <si>
    <t>GHO</t>
  </si>
  <si>
    <t>$0.9994</t>
  </si>
  <si>
    <t>$583,701,632</t>
  </si>
  <si>
    <t>$1,409,774</t>
  </si>
  <si>
    <t>584M</t>
  </si>
  <si>
    <t>Usual USD</t>
  </si>
  <si>
    <t>USD0</t>
  </si>
  <si>
    <t>$0.9983</t>
  </si>
  <si>
    <t>$564,296,602</t>
  </si>
  <si>
    <t>565.25M</t>
  </si>
  <si>
    <t>USDai</t>
  </si>
  <si>
    <t>USDAI</t>
  </si>
  <si>
    <t>$0.9997</t>
  </si>
  <si>
    <t>$501,223,735</t>
  </si>
  <si>
    <t>501.35M</t>
  </si>
  <si>
    <t>Solstice USX</t>
  </si>
  <si>
    <t>USX</t>
  </si>
  <si>
    <t>$359,619,899</t>
  </si>
  <si>
    <t>$606,156</t>
  </si>
  <si>
    <t>359.69M</t>
  </si>
  <si>
    <t>Ducky</t>
  </si>
  <si>
    <t>DUCKY</t>
  </si>
  <si>
    <t>$0.0007604</t>
  </si>
  <si>
    <t>0.60%</t>
  </si>
  <si>
    <t>3.79%</t>
  </si>
  <si>
    <t>$315,151,526</t>
  </si>
  <si>
    <t>414.4B</t>
  </si>
  <si>
    <t>Ape and Pepe</t>
  </si>
  <si>
    <t>APEPE</t>
  </si>
  <si>
    <t>$0.051345</t>
  </si>
  <si>
    <t>4.32%</t>
  </si>
  <si>
    <t>$282,572,112</t>
  </si>
  <si>
    <t>$48,970,328</t>
  </si>
  <si>
    <t>210T</t>
  </si>
  <si>
    <t>Legacy Frax Dollar</t>
  </si>
  <si>
    <t>FRAX</t>
  </si>
  <si>
    <t>$0.9931</t>
  </si>
  <si>
    <t>$274,032,783</t>
  </si>
  <si>
    <t>$193,668</t>
  </si>
  <si>
    <t>275.93M</t>
  </si>
  <si>
    <t>SwissBorg</t>
  </si>
  <si>
    <t>BORG</t>
  </si>
  <si>
    <t>$0.1872</t>
  </si>
  <si>
    <t>$183,908,989</t>
  </si>
  <si>
    <t>$288,733</t>
  </si>
  <si>
    <t>982.25M</t>
  </si>
  <si>
    <t>Brett (Based)</t>
  </si>
  <si>
    <t>BRETT</t>
  </si>
  <si>
    <t>$0.007406</t>
  </si>
  <si>
    <t>1.94%</t>
  </si>
  <si>
    <t>3.17%</t>
  </si>
  <si>
    <t>5.52%</t>
  </si>
  <si>
    <t>$74,062,291</t>
  </si>
  <si>
    <t>$13,338,110</t>
  </si>
  <si>
    <t>9.99B</t>
  </si>
  <si>
    <t>Ronin</t>
  </si>
  <si>
    <t>RON</t>
  </si>
  <si>
    <t>$0.09584</t>
  </si>
  <si>
    <t>0.24%</t>
  </si>
  <si>
    <t>3.31%</t>
  </si>
  <si>
    <t>1.28%</t>
  </si>
  <si>
    <t>$74,031,178</t>
  </si>
  <si>
    <t>$4,668,174</t>
  </si>
  <si>
    <t>772.4M</t>
  </si>
  <si>
    <t>Nervos Network</t>
  </si>
  <si>
    <t>CKB</t>
  </si>
  <si>
    <t>$0.001506</t>
  </si>
  <si>
    <t>0.49%</t>
  </si>
  <si>
    <t>0.45%</t>
  </si>
  <si>
    <t>1.74%</t>
  </si>
  <si>
    <t>$73,350,366</t>
  </si>
  <si>
    <t>$3,712,247</t>
  </si>
  <si>
    <t>48.67B</t>
  </si>
  <si>
    <t>Sahara AI</t>
  </si>
  <si>
    <t>SAHARA</t>
  </si>
  <si>
    <t>$0.02233</t>
  </si>
  <si>
    <t>0.51%</t>
  </si>
  <si>
    <t>2.14%</t>
  </si>
  <si>
    <t>3.26%</t>
  </si>
  <si>
    <t>$73,132,503</t>
  </si>
  <si>
    <t>$11,466,149</t>
  </si>
  <si>
    <t>3.27B</t>
  </si>
  <si>
    <t>Comedian</t>
  </si>
  <si>
    <t>BAN</t>
  </si>
  <si>
    <t>$0.07241</t>
  </si>
  <si>
    <t>0.44%</t>
  </si>
  <si>
    <t>3.77%</t>
  </si>
  <si>
    <t>13.88%</t>
  </si>
  <si>
    <t>$72,413,512</t>
  </si>
  <si>
    <t>$6,662,858</t>
  </si>
  <si>
    <t>999.96M</t>
  </si>
  <si>
    <t>Wormhole</t>
  </si>
  <si>
    <t>W</t>
  </si>
  <si>
    <t>$0.01256</t>
  </si>
  <si>
    <t>0.36%</t>
  </si>
  <si>
    <t>1.42%</t>
  </si>
  <si>
    <t>$72,319,563</t>
  </si>
  <si>
    <t>$16,989,012</t>
  </si>
  <si>
    <t>5.75B</t>
  </si>
  <si>
    <t>MYX Finance</t>
  </si>
  <si>
    <t>MYX</t>
  </si>
  <si>
    <t>$0.2556</t>
  </si>
  <si>
    <t>0.63%</t>
  </si>
  <si>
    <t>5.71%</t>
  </si>
  <si>
    <t>9.31%</t>
  </si>
  <si>
    <t>$72,047,637</t>
  </si>
  <si>
    <t>$13,158,577</t>
  </si>
  <si>
    <t>281.84M</t>
  </si>
  <si>
    <t>Alphabet tokenized stock (xStock)</t>
  </si>
  <si>
    <t>GOOGLX</t>
  </si>
  <si>
    <t>$375.07</t>
  </si>
  <si>
    <t>7.03%</t>
  </si>
  <si>
    <t>10.95%</t>
  </si>
  <si>
    <t>$71,062,822</t>
  </si>
  <si>
    <t>$9,118,217</t>
  </si>
  <si>
    <t>189.46K</t>
  </si>
  <si>
    <t>Ontology</t>
  </si>
  <si>
    <t>ONT</t>
  </si>
  <si>
    <t>$0.07096</t>
  </si>
  <si>
    <t>0.71%</t>
  </si>
  <si>
    <t>7.15%</t>
  </si>
  <si>
    <t>$70,966,684</t>
  </si>
  <si>
    <t>$8,942,254</t>
  </si>
  <si>
    <t>1B</t>
  </si>
  <si>
    <t>Astar</t>
  </si>
  <si>
    <t>ASTR</t>
  </si>
  <si>
    <t>$0.008239</t>
  </si>
  <si>
    <t>0.89%</t>
  </si>
  <si>
    <t>1.55%</t>
  </si>
  <si>
    <t>1.45%</t>
  </si>
  <si>
    <t>$70,770,090</t>
  </si>
  <si>
    <t>$2,498,843</t>
  </si>
  <si>
    <t>8.58B</t>
  </si>
  <si>
    <t>DigiByte</t>
  </si>
  <si>
    <t>DGB</t>
  </si>
  <si>
    <t>$0.003863</t>
  </si>
  <si>
    <t>0.52%</t>
  </si>
  <si>
    <t>8.54%</t>
  </si>
  <si>
    <t>$70,557,104</t>
  </si>
  <si>
    <t>$1,559,954</t>
  </si>
  <si>
    <t>18.26B</t>
  </si>
  <si>
    <t>Alchemy Pay</t>
  </si>
  <si>
    <t>ACH</t>
  </si>
  <si>
    <t>$0.007049</t>
  </si>
  <si>
    <t>0.37%</t>
  </si>
  <si>
    <t>9.09%</t>
  </si>
  <si>
    <t>13.18%</t>
  </si>
  <si>
    <t>$70,497,158</t>
  </si>
  <si>
    <t>$13,505,819</t>
  </si>
  <si>
    <t>Axelar</t>
  </si>
  <si>
    <t>AXL</t>
  </si>
  <si>
    <t>$0.06059</t>
  </si>
  <si>
    <t>1.35%</t>
  </si>
  <si>
    <t>5.31%</t>
  </si>
  <si>
    <t>$70,361,978</t>
  </si>
  <si>
    <t>$60,743,701</t>
  </si>
  <si>
    <t>1.16B</t>
  </si>
  <si>
    <t>Gensyn</t>
  </si>
  <si>
    <t>AI</t>
  </si>
  <si>
    <t>$0.05338</t>
  </si>
  <si>
    <t>5.89%</t>
  </si>
  <si>
    <t>47.89%</t>
  </si>
  <si>
    <t>$69,651,110</t>
  </si>
  <si>
    <t>$78,699,414</t>
  </si>
  <si>
    <t>1.3B</t>
  </si>
  <si>
    <t>InitVerse</t>
  </si>
  <si>
    <t>INI</t>
  </si>
  <si>
    <t>$0.1260</t>
  </si>
  <si>
    <t>0.21%</t>
  </si>
  <si>
    <t>4.40%</t>
  </si>
  <si>
    <t>$68,840,049</t>
  </si>
  <si>
    <t>$1,190,286</t>
  </si>
  <si>
    <t>546.33M</t>
  </si>
  <si>
    <t>ssv.network</t>
  </si>
  <si>
    <t>SSV</t>
  </si>
  <si>
    <t>$2.76</t>
  </si>
  <si>
    <t>3.87%</t>
  </si>
  <si>
    <t>$47,754,104</t>
  </si>
  <si>
    <t>$13,336,235</t>
  </si>
  <si>
    <t>17.26M</t>
  </si>
  <si>
    <t>Avantis</t>
  </si>
  <si>
    <t>AVNT</t>
  </si>
  <si>
    <t>$0.1488</t>
  </si>
  <si>
    <t>1.25%</t>
  </si>
  <si>
    <t>4.22%</t>
  </si>
  <si>
    <t>2.41%</t>
  </si>
  <si>
    <t>$47,635,416</t>
  </si>
  <si>
    <t>$12,970,101</t>
  </si>
  <si>
    <t>320.06M</t>
  </si>
  <si>
    <t>TAC Protocol</t>
  </si>
  <si>
    <t>TAC</t>
  </si>
  <si>
    <t>$0.01581</t>
  </si>
  <si>
    <t>1.00%</t>
  </si>
  <si>
    <t>23.65%</t>
  </si>
  <si>
    <t>120.81%</t>
  </si>
  <si>
    <t>$46,834,853</t>
  </si>
  <si>
    <t>$38,791,653</t>
  </si>
  <si>
    <t>2.96B</t>
  </si>
  <si>
    <t>Alaya Governance Token</t>
  </si>
  <si>
    <t>AGT</t>
  </si>
  <si>
    <t>$0.01996</t>
  </si>
  <si>
    <t>1.72%</t>
  </si>
  <si>
    <t>4.53%</t>
  </si>
  <si>
    <t>38.89%</t>
  </si>
  <si>
    <t>$46,022,092</t>
  </si>
  <si>
    <t>$8,399,389</t>
  </si>
  <si>
    <t>2.3B</t>
  </si>
  <si>
    <t>Casper</t>
  </si>
  <si>
    <t>CSPR</t>
  </si>
  <si>
    <t>$0.002897</t>
  </si>
  <si>
    <t>0.95%</t>
  </si>
  <si>
    <t>2.49%</t>
  </si>
  <si>
    <t>$46,011,603</t>
  </si>
  <si>
    <t>$1,226,209</t>
  </si>
  <si>
    <t>15.87B</t>
  </si>
  <si>
    <t>VNDC</t>
  </si>
  <si>
    <t>$0.00003239</t>
  </si>
  <si>
    <t>$45,758,202</t>
  </si>
  <si>
    <t>1.41T</t>
  </si>
  <si>
    <t>Terra</t>
  </si>
  <si>
    <t>LUNA</t>
  </si>
  <si>
    <t>$0.06407</t>
  </si>
  <si>
    <t>0.94%</t>
  </si>
  <si>
    <t>10.29%</t>
  </si>
  <si>
    <t>$45,490,970</t>
  </si>
  <si>
    <t>$16,763,953</t>
  </si>
  <si>
    <t>709.98M</t>
  </si>
  <si>
    <t>Frax (prev. FXS)</t>
  </si>
  <si>
    <t>$0.4729</t>
  </si>
  <si>
    <t>1.92%</t>
  </si>
  <si>
    <t>2.86%</t>
  </si>
  <si>
    <t>$45,153,852</t>
  </si>
  <si>
    <t>$1,089,382</t>
  </si>
  <si>
    <t>95.47M</t>
  </si>
  <si>
    <t>aPriori</t>
  </si>
  <si>
    <t>APR</t>
  </si>
  <si>
    <t>$0.1781</t>
  </si>
  <si>
    <t>1.69%</t>
  </si>
  <si>
    <t>$43,969,148</t>
  </si>
  <si>
    <t>$4,653,061</t>
  </si>
  <si>
    <t>246.87M</t>
  </si>
  <si>
    <t>Ant.FUN</t>
  </si>
  <si>
    <t>ANB</t>
  </si>
  <si>
    <t>$0.02326</t>
  </si>
  <si>
    <t>1.32%</t>
  </si>
  <si>
    <t>2.31%</t>
  </si>
  <si>
    <t>$43,940,101</t>
  </si>
  <si>
    <t>$1,084,305</t>
  </si>
  <si>
    <t>1.88B</t>
  </si>
  <si>
    <t>Somnia</t>
  </si>
  <si>
    <t>SOMI</t>
  </si>
  <si>
    <t>$0.1791</t>
  </si>
  <si>
    <t>0.72%</t>
  </si>
  <si>
    <t>7.42%</t>
  </si>
  <si>
    <t>$43,581,244</t>
  </si>
  <si>
    <t>$8,332,837</t>
  </si>
  <si>
    <t>243.23M</t>
  </si>
  <si>
    <t>Fractal Bitcoin</t>
  </si>
  <si>
    <t>FB</t>
  </si>
  <si>
    <t>$0.4319</t>
  </si>
  <si>
    <t>3.12%</t>
  </si>
  <si>
    <t>8.47%</t>
  </si>
  <si>
    <t>9.35%</t>
  </si>
  <si>
    <t>$43,548,035</t>
  </si>
  <si>
    <t>$3,174,625</t>
  </si>
  <si>
    <t>100.82M</t>
  </si>
  <si>
    <t>Vana</t>
  </si>
  <si>
    <t>VANA</t>
  </si>
  <si>
    <t>$1.44</t>
  </si>
  <si>
    <t>2.67%</t>
  </si>
  <si>
    <t>$43,486,863</t>
  </si>
  <si>
    <t>$15,808,377</t>
  </si>
  <si>
    <t>30.08M</t>
  </si>
  <si>
    <t>Bitway</t>
  </si>
  <si>
    <t>BTW</t>
  </si>
  <si>
    <t>$0.01975</t>
  </si>
  <si>
    <t>2.57%</t>
  </si>
  <si>
    <t>8.63%</t>
  </si>
  <si>
    <t>18.96%</t>
  </si>
  <si>
    <t>$43,463,113</t>
  </si>
  <si>
    <t>$11,948,655</t>
  </si>
  <si>
    <t>2.2B</t>
  </si>
  <si>
    <t>EscoinToken</t>
  </si>
  <si>
    <t>ELG</t>
  </si>
  <si>
    <t>$0.2764</t>
  </si>
  <si>
    <t>0.23%</t>
  </si>
  <si>
    <t>1.18%</t>
  </si>
  <si>
    <t>3.93%</t>
  </si>
  <si>
    <t>$43,434,101</t>
  </si>
  <si>
    <t>$324,360</t>
  </si>
  <si>
    <t>157.13M</t>
  </si>
  <si>
    <t>GoPlus Security</t>
  </si>
  <si>
    <t>GPS</t>
  </si>
  <si>
    <t>$0.007691</t>
  </si>
  <si>
    <t>0.78%</t>
  </si>
  <si>
    <t>2.32%</t>
  </si>
  <si>
    <t>15.76%</t>
  </si>
  <si>
    <t>$34,755,756</t>
  </si>
  <si>
    <t>$6,041,319</t>
  </si>
  <si>
    <t>4.51B</t>
  </si>
  <si>
    <t>GMT</t>
  </si>
  <si>
    <t>$0.01113</t>
  </si>
  <si>
    <t>0.61%</t>
  </si>
  <si>
    <t>3.14%</t>
  </si>
  <si>
    <t>2.52%</t>
  </si>
  <si>
    <t>$34,642,509</t>
  </si>
  <si>
    <t>$133,750,816</t>
  </si>
  <si>
    <t>3.11B</t>
  </si>
  <si>
    <t>EthereumPoW</t>
  </si>
  <si>
    <t>ETHW</t>
  </si>
  <si>
    <t>$0.3197</t>
  </si>
  <si>
    <t>0.80%</t>
  </si>
  <si>
    <t>9.27%</t>
  </si>
  <si>
    <t>$34,478,082</t>
  </si>
  <si>
    <t>$4,697,426</t>
  </si>
  <si>
    <t>107.81M</t>
  </si>
  <si>
    <t>Liquity BOLD</t>
  </si>
  <si>
    <t>BOLD</t>
  </si>
  <si>
    <t>$34,461,136</t>
  </si>
  <si>
    <t>$410,367</t>
  </si>
  <si>
    <t>34.46M</t>
  </si>
  <si>
    <t>Anchored Coins AEUR</t>
  </si>
  <si>
    <t>AEUR</t>
  </si>
  <si>
    <t>$1.15</t>
  </si>
  <si>
    <t>1.44%</t>
  </si>
  <si>
    <t>$34,400,268</t>
  </si>
  <si>
    <t>$4,165</t>
  </si>
  <si>
    <t>29.82M</t>
  </si>
  <si>
    <t>Propy</t>
  </si>
  <si>
    <t>PRO</t>
  </si>
  <si>
    <t>$0.3439</t>
  </si>
  <si>
    <t>0.74%</t>
  </si>
  <si>
    <t>2.59%</t>
  </si>
  <si>
    <t>$34,399,902</t>
  </si>
  <si>
    <t>$3,861,387</t>
  </si>
  <si>
    <t>100M</t>
  </si>
  <si>
    <t>Secret</t>
  </si>
  <si>
    <t>SCRT</t>
  </si>
  <si>
    <t>$0.1015</t>
  </si>
  <si>
    <t>0.59%</t>
  </si>
  <si>
    <t>1.66%</t>
  </si>
  <si>
    <t>8.10%</t>
  </si>
  <si>
    <t>$34,394,095</t>
  </si>
  <si>
    <t>$2,322,728</t>
  </si>
  <si>
    <t>338.79M</t>
  </si>
  <si>
    <t>Open Campus</t>
  </si>
  <si>
    <t>EDU</t>
  </si>
  <si>
    <t>$0.04665</t>
  </si>
  <si>
    <t>0.77%</t>
  </si>
  <si>
    <t>0.82%</t>
  </si>
  <si>
    <t>3.11%</t>
  </si>
  <si>
    <t>$34,345,276</t>
  </si>
  <si>
    <t>$12,505,157</t>
  </si>
  <si>
    <t>736.2M</t>
  </si>
  <si>
    <t>MobileCoin</t>
  </si>
  <si>
    <t>MOB</t>
  </si>
  <si>
    <t>$0.1730</t>
  </si>
  <si>
    <t>1.26%</t>
  </si>
  <si>
    <t>$34,342,934</t>
  </si>
  <si>
    <t>$6,529</t>
  </si>
  <si>
    <t>198.39M</t>
  </si>
  <si>
    <t>Snek</t>
  </si>
  <si>
    <t>SNEK</t>
  </si>
  <si>
    <t>$0.0004596</t>
  </si>
  <si>
    <t>14.29%</t>
  </si>
  <si>
    <t>$34,342,892</t>
  </si>
  <si>
    <t>$8,137,454</t>
  </si>
  <si>
    <t>74.72B</t>
  </si>
  <si>
    <t>peaq</t>
  </si>
  <si>
    <t>PEAQ</t>
  </si>
  <si>
    <t>$0.01666</t>
  </si>
  <si>
    <t>0.35%</t>
  </si>
  <si>
    <t>3.13%</t>
  </si>
  <si>
    <t>3.71%</t>
  </si>
  <si>
    <t>$34,258,638</t>
  </si>
  <si>
    <t>$2,460,159</t>
  </si>
  <si>
    <t>2.05B</t>
  </si>
  <si>
    <t>Illuvium</t>
  </si>
  <si>
    <t>ILV</t>
  </si>
  <si>
    <t>$4.66</t>
  </si>
  <si>
    <t>3.23%</t>
  </si>
  <si>
    <t>0.96%</t>
  </si>
  <si>
    <t>$34,234,901</t>
  </si>
  <si>
    <t>$7,391,044</t>
  </si>
  <si>
    <t>7.33M</t>
  </si>
  <si>
    <t>Solayer</t>
  </si>
  <si>
    <t>LAYER</t>
  </si>
  <si>
    <t>$0.08317</t>
  </si>
  <si>
    <t>0.48%</t>
  </si>
  <si>
    <t>3.05%</t>
  </si>
  <si>
    <t>$34,059,204</t>
  </si>
  <si>
    <t>$8,378,351</t>
  </si>
  <si>
    <t>409.5M</t>
  </si>
  <si>
    <t>BNB Attestation Service</t>
  </si>
  <si>
    <t>BAS</t>
  </si>
  <si>
    <t>$0.01362</t>
  </si>
  <si>
    <t>0.47%</t>
  </si>
  <si>
    <t>2.23%</t>
  </si>
  <si>
    <t>6.63%</t>
  </si>
  <si>
    <t>$34,056,298</t>
  </si>
  <si>
    <t>$8,047,977</t>
  </si>
  <si>
    <t>2.5B</t>
  </si>
  <si>
    <t>TerraClassicUSD</t>
  </si>
  <si>
    <t>USTC</t>
  </si>
  <si>
    <t>$0.006081</t>
  </si>
  <si>
    <t>13.82%</t>
  </si>
  <si>
    <t>$33,924,795</t>
  </si>
  <si>
    <t>$4,555,722</t>
  </si>
  <si>
    <t>5.57B</t>
  </si>
  <si>
    <t>Zentry</t>
  </si>
  <si>
    <t>ZENT</t>
  </si>
  <si>
    <t>$0.003385</t>
  </si>
  <si>
    <t>1.08%</t>
  </si>
  <si>
    <t>1.50%</t>
  </si>
  <si>
    <t>$27,120,091</t>
  </si>
  <si>
    <t>$1,435,285</t>
  </si>
  <si>
    <t>8B</t>
  </si>
  <si>
    <t>Flux</t>
  </si>
  <si>
    <t>FLUX</t>
  </si>
  <si>
    <t>$0.06620</t>
  </si>
  <si>
    <t>1.83%</t>
  </si>
  <si>
    <t>$27,024,959</t>
  </si>
  <si>
    <t>$3,063,215</t>
  </si>
  <si>
    <t>408.21M</t>
  </si>
  <si>
    <t>Metal DAO</t>
  </si>
  <si>
    <t>MTL</t>
  </si>
  <si>
    <t>$0.2978</t>
  </si>
  <si>
    <t>1.61%</t>
  </si>
  <si>
    <t>$26,996,878</t>
  </si>
  <si>
    <t>$1,214,201</t>
  </si>
  <si>
    <t>90.63M</t>
  </si>
  <si>
    <t>Quai Network</t>
  </si>
  <si>
    <t>QUAI</t>
  </si>
  <si>
    <t>$0.03404</t>
  </si>
  <si>
    <t>0.99%</t>
  </si>
  <si>
    <t>3.22%</t>
  </si>
  <si>
    <t>$26,641,319</t>
  </si>
  <si>
    <t>$589,397</t>
  </si>
  <si>
    <t>782.48M</t>
  </si>
  <si>
    <t>LCX</t>
  </si>
  <si>
    <t>$0.02784</t>
  </si>
  <si>
    <t>6.28%</t>
  </si>
  <si>
    <t>16.70%</t>
  </si>
  <si>
    <t>$26,426,898</t>
  </si>
  <si>
    <t>$322,128</t>
  </si>
  <si>
    <t>949.22M</t>
  </si>
  <si>
    <t>Phala Network</t>
  </si>
  <si>
    <t>PHA</t>
  </si>
  <si>
    <t>$0.03153</t>
  </si>
  <si>
    <t>0.85%</t>
  </si>
  <si>
    <t>$26,363,134</t>
  </si>
  <si>
    <t>$8,041,829</t>
  </si>
  <si>
    <t>835.94M</t>
  </si>
  <si>
    <t>Animecoin</t>
  </si>
  <si>
    <t>ANIME</t>
  </si>
  <si>
    <t>$0.004744</t>
  </si>
  <si>
    <t>$26,280,302</t>
  </si>
  <si>
    <t>$10,825,738</t>
  </si>
  <si>
    <t>5.53B</t>
  </si>
  <si>
    <t>SuperWalk</t>
  </si>
  <si>
    <t>GRND</t>
  </si>
  <si>
    <t>$0.03357</t>
  </si>
  <si>
    <t>0.20%</t>
  </si>
  <si>
    <t>48.22%</t>
  </si>
  <si>
    <t>$26,260,308</t>
  </si>
  <si>
    <t>$286,759</t>
  </si>
  <si>
    <t>782.05M</t>
  </si>
  <si>
    <t>Cetus Protocol</t>
  </si>
  <si>
    <t>CETUS</t>
  </si>
  <si>
    <t>$0.02806</t>
  </si>
  <si>
    <t>1.30%</t>
  </si>
  <si>
    <t>4.29%</t>
  </si>
  <si>
    <t>4.60%</t>
  </si>
  <si>
    <t>$26,243,930</t>
  </si>
  <si>
    <t>$4,344,986</t>
  </si>
  <si>
    <t>935.14M</t>
  </si>
  <si>
    <t>Apple tokenized stock (xStock)</t>
  </si>
  <si>
    <t>AAPLX</t>
  </si>
  <si>
    <t>$271.94</t>
  </si>
  <si>
    <t>$26,108,222</t>
  </si>
  <si>
    <t>$6,611,711</t>
  </si>
  <si>
    <t>96K</t>
  </si>
  <si>
    <t>TBLL tokenized ETF (xStock)</t>
  </si>
  <si>
    <t>TBLLX</t>
  </si>
  <si>
    <t>$104.94</t>
  </si>
  <si>
    <t>1.14%</t>
  </si>
  <si>
    <t>$25,946,613</t>
  </si>
  <si>
    <t>$321</t>
  </si>
  <si>
    <t>247.25K</t>
  </si>
  <si>
    <t>Doodles</t>
  </si>
  <si>
    <t>DOOD</t>
  </si>
  <si>
    <t>$0.003311</t>
  </si>
  <si>
    <t>2.75%</t>
  </si>
  <si>
    <t>3.09%</t>
  </si>
  <si>
    <t>4.06%</t>
  </si>
  <si>
    <t>$25,833,421</t>
  </si>
  <si>
    <t>$10,960,885</t>
  </si>
  <si>
    <t>7.8B</t>
  </si>
  <si>
    <t>Mango Network</t>
  </si>
  <si>
    <t>MGO</t>
  </si>
  <si>
    <t>$0.01609</t>
  </si>
  <si>
    <t>2.70%</t>
  </si>
  <si>
    <t>6.46%</t>
  </si>
  <si>
    <t>$25,804,316</t>
  </si>
  <si>
    <t>$3,393,372</t>
  </si>
  <si>
    <t>1.6B</t>
  </si>
  <si>
    <t>pippin</t>
  </si>
  <si>
    <t>PIPPIN</t>
  </si>
  <si>
    <t>$0.02577</t>
  </si>
  <si>
    <t>0.90%</t>
  </si>
  <si>
    <t>7.98%</t>
  </si>
  <si>
    <t>$25,778,254</t>
  </si>
  <si>
    <t>$9,720,641</t>
  </si>
  <si>
    <t>999.99M</t>
  </si>
  <si>
    <t>deBridge</t>
  </si>
  <si>
    <t>DBR</t>
  </si>
  <si>
    <t>$0.01338</t>
  </si>
  <si>
    <t>$25,756,339</t>
  </si>
  <si>
    <t>$4,460,612</t>
  </si>
  <si>
    <t>1.92B</t>
  </si>
  <si>
    <t>Taiko</t>
  </si>
  <si>
    <t>TAIKO</t>
  </si>
  <si>
    <t>$0.1161</t>
  </si>
  <si>
    <t>0.56%</t>
  </si>
  <si>
    <t>1.93%</t>
  </si>
  <si>
    <t>1.12%</t>
  </si>
  <si>
    <t>$21,058,075</t>
  </si>
  <si>
    <t>$3,159,701</t>
  </si>
  <si>
    <t>181.34M</t>
  </si>
  <si>
    <t>INFINIT</t>
  </si>
  <si>
    <t>IN</t>
  </si>
  <si>
    <t>$0.06747</t>
  </si>
  <si>
    <t>1.62%</t>
  </si>
  <si>
    <t>6.34%</t>
  </si>
  <si>
    <t>$20,936,605</t>
  </si>
  <si>
    <t>$5,916,397</t>
  </si>
  <si>
    <t>310.27M</t>
  </si>
  <si>
    <t>BugsCoin</t>
  </si>
  <si>
    <t>BGSC</t>
  </si>
  <si>
    <t>$0.002047</t>
  </si>
  <si>
    <t>45.66%</t>
  </si>
  <si>
    <t>51.74%</t>
  </si>
  <si>
    <t>$20,846,355</t>
  </si>
  <si>
    <t>$8,017,312</t>
  </si>
  <si>
    <t>10.18B</t>
  </si>
  <si>
    <t>StakeStone</t>
  </si>
  <si>
    <t>STO</t>
  </si>
  <si>
    <t>$0.09229</t>
  </si>
  <si>
    <t>2.89%</t>
  </si>
  <si>
    <t>9.68%</t>
  </si>
  <si>
    <t>$20,798,023</t>
  </si>
  <si>
    <t>$20,776,495</t>
  </si>
  <si>
    <t>225.33M</t>
  </si>
  <si>
    <t>Coin98</t>
  </si>
  <si>
    <t>C98</t>
  </si>
  <si>
    <t>$0.02076</t>
  </si>
  <si>
    <t>2.20%</t>
  </si>
  <si>
    <t>$20,764,179</t>
  </si>
  <si>
    <t>$4,700,921</t>
  </si>
  <si>
    <t>Comtech Gold</t>
  </si>
  <si>
    <t>CGO</t>
  </si>
  <si>
    <t>$147.02</t>
  </si>
  <si>
    <t>$20,731,060</t>
  </si>
  <si>
    <t>$971,465</t>
  </si>
  <si>
    <t>141K</t>
  </si>
  <si>
    <t>Marlin</t>
  </si>
  <si>
    <t>POND</t>
  </si>
  <si>
    <t>$0.002497</t>
  </si>
  <si>
    <t>3.82%</t>
  </si>
  <si>
    <t>$20,552,882</t>
  </si>
  <si>
    <t>$1,003,720</t>
  </si>
  <si>
    <t>8.22B</t>
  </si>
  <si>
    <t>Faith Tribe</t>
  </si>
  <si>
    <t>FTRB</t>
  </si>
  <si>
    <t>$0.006218</t>
  </si>
  <si>
    <t>2.34%</t>
  </si>
  <si>
    <t>3.48%</t>
  </si>
  <si>
    <t>2.87%</t>
  </si>
  <si>
    <t>$20,517,711</t>
  </si>
  <si>
    <t>$233,881</t>
  </si>
  <si>
    <t>3.29B</t>
  </si>
  <si>
    <t>Wilder World</t>
  </si>
  <si>
    <t>WILD</t>
  </si>
  <si>
    <t>$0.04095</t>
  </si>
  <si>
    <t>2.63%</t>
  </si>
  <si>
    <t>3.15%</t>
  </si>
  <si>
    <t>9.32%</t>
  </si>
  <si>
    <t>$20,478,225</t>
  </si>
  <si>
    <t>$431,784</t>
  </si>
  <si>
    <t>499.96M</t>
  </si>
  <si>
    <t>Cisco tokenized stock (xStock)</t>
  </si>
  <si>
    <t>CSCOX</t>
  </si>
  <si>
    <t>$89.06</t>
  </si>
  <si>
    <t>3.62%</t>
  </si>
  <si>
    <t>$20,456,617</t>
  </si>
  <si>
    <t>$306</t>
  </si>
  <si>
    <t>229.69K</t>
  </si>
  <si>
    <t>Global Commercial Business</t>
  </si>
  <si>
    <t>GCB</t>
  </si>
  <si>
    <t>$0.01691</t>
  </si>
  <si>
    <t>$20,328,178</t>
  </si>
  <si>
    <t>$6,057</t>
  </si>
  <si>
    <t>1.2B</t>
  </si>
  <si>
    <t>Orderly</t>
  </si>
  <si>
    <t>ORDER</t>
  </si>
  <si>
    <t>$0.05465</t>
  </si>
  <si>
    <t>0.84%</t>
  </si>
  <si>
    <t>$20,291,462</t>
  </si>
  <si>
    <t>$4,412,773</t>
  </si>
  <si>
    <t>371.28M</t>
  </si>
  <si>
    <t>EGL1</t>
  </si>
  <si>
    <t>$0.02018</t>
  </si>
  <si>
    <t>1.46%</t>
  </si>
  <si>
    <t>7.58%</t>
  </si>
  <si>
    <t>$20,182,033</t>
  </si>
  <si>
    <t>$2,122,149</t>
  </si>
  <si>
    <t>USD CoinVertible</t>
  </si>
  <si>
    <t>USDCV</t>
  </si>
  <si>
    <t>$0.9991</t>
  </si>
  <si>
    <t>$20,149,882</t>
  </si>
  <si>
    <t>$25,146,643</t>
  </si>
  <si>
    <t>20.16M</t>
  </si>
  <si>
    <t>GRIFFAIN</t>
  </si>
  <si>
    <t>$0.02010</t>
  </si>
  <si>
    <t>2.24%</t>
  </si>
  <si>
    <t>20.28%</t>
  </si>
  <si>
    <t>$20,106,983</t>
  </si>
  <si>
    <t>$10,809,422</t>
  </si>
  <si>
    <t>999.88M</t>
  </si>
  <si>
    <t>Origin Protocol</t>
  </si>
  <si>
    <t>OGN</t>
  </si>
  <si>
    <t>$0.02351</t>
  </si>
  <si>
    <t>$15,575,230</t>
  </si>
  <si>
    <t>$3,014,853</t>
  </si>
  <si>
    <t>662.38M</t>
  </si>
  <si>
    <t>Degen</t>
  </si>
  <si>
    <t>DEGEN</t>
  </si>
  <si>
    <t>$0.0006909</t>
  </si>
  <si>
    <t>8.84%</t>
  </si>
  <si>
    <t>$15,539,251</t>
  </si>
  <si>
    <t>$1,584,069</t>
  </si>
  <si>
    <t>22.49B</t>
  </si>
  <si>
    <t>Layer3</t>
  </si>
  <si>
    <t>L3</t>
  </si>
  <si>
    <t>$0.01366</t>
  </si>
  <si>
    <t>3.60%</t>
  </si>
  <si>
    <t>23.44%</t>
  </si>
  <si>
    <t>31.64%</t>
  </si>
  <si>
    <t>$15,512,159</t>
  </si>
  <si>
    <t>$12,060,249</t>
  </si>
  <si>
    <t>1.13B</t>
  </si>
  <si>
    <t>ARPA</t>
  </si>
  <si>
    <t>$0.01016</t>
  </si>
  <si>
    <t>3.98%</t>
  </si>
  <si>
    <t>$15,439,970</t>
  </si>
  <si>
    <t>$6,780,950</t>
  </si>
  <si>
    <t>1.51B</t>
  </si>
  <si>
    <t>Avail</t>
  </si>
  <si>
    <t>AVAIL</t>
  </si>
  <si>
    <t>$0.004053</t>
  </si>
  <si>
    <t>1.57%</t>
  </si>
  <si>
    <t>$15,422,560</t>
  </si>
  <si>
    <t>$808,821</t>
  </si>
  <si>
    <t>3.8B</t>
  </si>
  <si>
    <t>Wayfinder</t>
  </si>
  <si>
    <t>PROMPT</t>
  </si>
  <si>
    <t>$0.03544</t>
  </si>
  <si>
    <t>$15,396,273</t>
  </si>
  <si>
    <t>$2,802,943</t>
  </si>
  <si>
    <t>434.32M</t>
  </si>
  <si>
    <t>Solend</t>
  </si>
  <si>
    <t>SLND</t>
  </si>
  <si>
    <t>$0.1539</t>
  </si>
  <si>
    <t>$15,395,832</t>
  </si>
  <si>
    <t>$119</t>
  </si>
  <si>
    <t>Braintrust</t>
  </si>
  <si>
    <t>BTRST</t>
  </si>
  <si>
    <t>$0.06362</t>
  </si>
  <si>
    <t>3.38%</t>
  </si>
  <si>
    <t>4.09%</t>
  </si>
  <si>
    <t>$15,356,872</t>
  </si>
  <si>
    <t>$88,670</t>
  </si>
  <si>
    <t>241.34M</t>
  </si>
  <si>
    <t>Hermez Network</t>
  </si>
  <si>
    <t>HEZ</t>
  </si>
  <si>
    <t>$3.26</t>
  </si>
  <si>
    <t>$15,345,684</t>
  </si>
  <si>
    <t>$34,281</t>
  </si>
  <si>
    <t>4.7M</t>
  </si>
  <si>
    <t>Banana Gun</t>
  </si>
  <si>
    <t>BANANA</t>
  </si>
  <si>
    <t>$3.81</t>
  </si>
  <si>
    <t>3.50%</t>
  </si>
  <si>
    <t>$15,293,248</t>
  </si>
  <si>
    <t>$3,932,877</t>
  </si>
  <si>
    <t>4M</t>
  </si>
  <si>
    <t>Firo</t>
  </si>
  <si>
    <t>FIRO</t>
  </si>
  <si>
    <t>$0.8250</t>
  </si>
  <si>
    <t>7.61%</t>
  </si>
  <si>
    <t>0.54%</t>
  </si>
  <si>
    <t>$15,289,686</t>
  </si>
  <si>
    <t>$456,715</t>
  </si>
  <si>
    <t>18.53M</t>
  </si>
  <si>
    <t>Vine Coin</t>
  </si>
  <si>
    <t>VINE</t>
  </si>
  <si>
    <t>$0.01528</t>
  </si>
  <si>
    <t>20.54%</t>
  </si>
  <si>
    <t>$15,283,025</t>
  </si>
  <si>
    <t>$4,735,102</t>
  </si>
  <si>
    <t>Ponke</t>
  </si>
  <si>
    <t>PONKE</t>
  </si>
  <si>
    <t>$0.02739</t>
  </si>
  <si>
    <t>$15,217,745</t>
  </si>
  <si>
    <t>$1,857,483</t>
  </si>
  <si>
    <t>555.54M</t>
  </si>
  <si>
    <t>KONET</t>
  </si>
  <si>
    <t>$0.03423</t>
  </si>
  <si>
    <t>$15,171,135</t>
  </si>
  <si>
    <t>$90,422</t>
  </si>
  <si>
    <t>443.13M</t>
  </si>
  <si>
    <t>Superform</t>
  </si>
  <si>
    <t>UP</t>
  </si>
  <si>
    <t>$0.1088</t>
  </si>
  <si>
    <t>2.13%</t>
  </si>
  <si>
    <t>14.66%</t>
  </si>
  <si>
    <t>74.35%</t>
  </si>
  <si>
    <t>$15,148,774</t>
  </si>
  <si>
    <t>$6,877,810</t>
  </si>
  <si>
    <t>139.22M</t>
  </si>
  <si>
    <t>Polyhedra Network</t>
  </si>
  <si>
    <t>ZKJ</t>
  </si>
  <si>
    <t>$0.01633</t>
  </si>
  <si>
    <t>4.99%</t>
  </si>
  <si>
    <t>19.12%</t>
  </si>
  <si>
    <t>10.23%</t>
  </si>
  <si>
    <t>$11,606,060</t>
  </si>
  <si>
    <t>$64,934,446</t>
  </si>
  <si>
    <t>710.6M</t>
  </si>
  <si>
    <t>BENQI</t>
  </si>
  <si>
    <t>QI</t>
  </si>
  <si>
    <t>$0.001606</t>
  </si>
  <si>
    <t>0.29%</t>
  </si>
  <si>
    <t>2.85%</t>
  </si>
  <si>
    <t>$11,565,244</t>
  </si>
  <si>
    <t>$653,863</t>
  </si>
  <si>
    <t>7.2B</t>
  </si>
  <si>
    <t>Worldwide USD</t>
  </si>
  <si>
    <t>WUSD</t>
  </si>
  <si>
    <t>$0.9984</t>
  </si>
  <si>
    <t>$11,544,749</t>
  </si>
  <si>
    <t>$229,284</t>
  </si>
  <si>
    <t>11.56M</t>
  </si>
  <si>
    <t>Resolv</t>
  </si>
  <si>
    <t>RESOLV</t>
  </si>
  <si>
    <t>$0.03029</t>
  </si>
  <si>
    <t>1.21%</t>
  </si>
  <si>
    <t>1.77%</t>
  </si>
  <si>
    <t>$11,542,476</t>
  </si>
  <si>
    <t>$7,416,063</t>
  </si>
  <si>
    <t>381.03M</t>
  </si>
  <si>
    <t>Rupiah Token</t>
  </si>
  <si>
    <t>IDRT</t>
  </si>
  <si>
    <t>$0.00006616</t>
  </si>
  <si>
    <t>$11,503,076</t>
  </si>
  <si>
    <t>173.85B</t>
  </si>
  <si>
    <t>Ninja Squad Token</t>
  </si>
  <si>
    <t>NST</t>
  </si>
  <si>
    <t>$1.32</t>
  </si>
  <si>
    <t>1.24%</t>
  </si>
  <si>
    <t>$11,448,567</t>
  </si>
  <si>
    <t>$145,406</t>
  </si>
  <si>
    <t>8.61M</t>
  </si>
  <si>
    <t>CONX</t>
  </si>
  <si>
    <t>XPLA</t>
  </si>
  <si>
    <t>$0.01227</t>
  </si>
  <si>
    <t>0.32%</t>
  </si>
  <si>
    <t>1.84%</t>
  </si>
  <si>
    <t>$11,419,144</t>
  </si>
  <si>
    <t>$62,158</t>
  </si>
  <si>
    <t>930.47M</t>
  </si>
  <si>
    <t>Just a chill guy</t>
  </si>
  <si>
    <t>CHILLGUY</t>
  </si>
  <si>
    <t>$0.01141</t>
  </si>
  <si>
    <t>11.83%</t>
  </si>
  <si>
    <t>$11,412,102</t>
  </si>
  <si>
    <t>$4,874,824</t>
  </si>
  <si>
    <t>999.94M</t>
  </si>
  <si>
    <t>Paris Saint-Germain Fan Token</t>
  </si>
  <si>
    <t>PSG</t>
  </si>
  <si>
    <t>$0.7566</t>
  </si>
  <si>
    <t>9.34%</t>
  </si>
  <si>
    <t>$11,410,607</t>
  </si>
  <si>
    <t>$2,711,114</t>
  </si>
  <si>
    <t>15.07M</t>
  </si>
  <si>
    <t>Bless</t>
  </si>
  <si>
    <t>BLESS</t>
  </si>
  <si>
    <t>$0.005861</t>
  </si>
  <si>
    <t>3.69%</t>
  </si>
  <si>
    <t>$11,379,970</t>
  </si>
  <si>
    <t>$2,750,712</t>
  </si>
  <si>
    <t>1.94B</t>
  </si>
  <si>
    <t>Synapse</t>
  </si>
  <si>
    <t>SYN</t>
  </si>
  <si>
    <t>$0.05315</t>
  </si>
  <si>
    <t>1.10%</t>
  </si>
  <si>
    <t>$11,334,127</t>
  </si>
  <si>
    <t>$2,079,172</t>
  </si>
  <si>
    <t>213.23M</t>
  </si>
  <si>
    <t>Helium Mobile</t>
  </si>
  <si>
    <t>MOBILE</t>
  </si>
  <si>
    <t>$0.0001267</t>
  </si>
  <si>
    <t>1.11%</t>
  </si>
  <si>
    <t>8.45%</t>
  </si>
  <si>
    <t>$11,320,242</t>
  </si>
  <si>
    <t>$71,290</t>
  </si>
  <si>
    <t>89.28B</t>
  </si>
  <si>
    <t>PlatON</t>
  </si>
  <si>
    <t>LAT</t>
  </si>
  <si>
    <t>$0.001326</t>
  </si>
  <si>
    <t>0.34%</t>
  </si>
  <si>
    <t>$9,128,152</t>
  </si>
  <si>
    <t>$2,789,288</t>
  </si>
  <si>
    <t>6.88B</t>
  </si>
  <si>
    <t>Heroes of Mavia</t>
  </si>
  <si>
    <t>MAVIA</t>
  </si>
  <si>
    <t>$0.03729</t>
  </si>
  <si>
    <t>2.35%</t>
  </si>
  <si>
    <t>11.54%</t>
  </si>
  <si>
    <t>$9,123,978</t>
  </si>
  <si>
    <t>$4,544,168</t>
  </si>
  <si>
    <t>244.63M</t>
  </si>
  <si>
    <t>Portal</t>
  </si>
  <si>
    <t>PORTAL</t>
  </si>
  <si>
    <t>$0.01151</t>
  </si>
  <si>
    <t>0.70%</t>
  </si>
  <si>
    <t>$9,104,961</t>
  </si>
  <si>
    <t>$7,979,869</t>
  </si>
  <si>
    <t>790.42M</t>
  </si>
  <si>
    <t>Bitcoin Gold</t>
  </si>
  <si>
    <t>BTG</t>
  </si>
  <si>
    <t>$0.5187</t>
  </si>
  <si>
    <t>5.43%</t>
  </si>
  <si>
    <t>$9,085,366</t>
  </si>
  <si>
    <t>$1,119</t>
  </si>
  <si>
    <t>17.51M</t>
  </si>
  <si>
    <t>IAGON</t>
  </si>
  <si>
    <t>IAG</t>
  </si>
  <si>
    <t>$0.02389</t>
  </si>
  <si>
    <t>36.88%</t>
  </si>
  <si>
    <t>$8,983,218</t>
  </si>
  <si>
    <t>$10,177,863</t>
  </si>
  <si>
    <t>376.02M</t>
  </si>
  <si>
    <t>PepeCoin</t>
  </si>
  <si>
    <t>PEPECOIN</t>
  </si>
  <si>
    <t>$0.08376</t>
  </si>
  <si>
    <t>12.00%</t>
  </si>
  <si>
    <t>$8,968,173</t>
  </si>
  <si>
    <t>$113,077</t>
  </si>
  <si>
    <t>107.05M</t>
  </si>
  <si>
    <t>Realio Network</t>
  </si>
  <si>
    <t>RIO</t>
  </si>
  <si>
    <t>$0.06130</t>
  </si>
  <si>
    <t>3.44%</t>
  </si>
  <si>
    <t>25.28%</t>
  </si>
  <si>
    <t>5.75%</t>
  </si>
  <si>
    <t>$8,938,885</t>
  </si>
  <si>
    <t>$480,521</t>
  </si>
  <si>
    <t>145.8M</t>
  </si>
  <si>
    <t>DAR Open Network</t>
  </si>
  <si>
    <t>D</t>
  </si>
  <si>
    <t>$0.01201</t>
  </si>
  <si>
    <t>2.05%</t>
  </si>
  <si>
    <t>31.30%</t>
  </si>
  <si>
    <t>$8,933,436</t>
  </si>
  <si>
    <t>$6,615,837</t>
  </si>
  <si>
    <t>743.51M</t>
  </si>
  <si>
    <t>NFPrompt</t>
  </si>
  <si>
    <t>NFP</t>
  </si>
  <si>
    <t>$0.01549</t>
  </si>
  <si>
    <t>0.79%</t>
  </si>
  <si>
    <t>1.90%</t>
  </si>
  <si>
    <t>6.99%</t>
  </si>
  <si>
    <t>$8,927,644</t>
  </si>
  <si>
    <t>$6,365,302</t>
  </si>
  <si>
    <t>576.13M</t>
  </si>
  <si>
    <t>ELYSIA</t>
  </si>
  <si>
    <t>EL</t>
  </si>
  <si>
    <t>$0.001845</t>
  </si>
  <si>
    <t>1.96%</t>
  </si>
  <si>
    <t>$8,876,870</t>
  </si>
  <si>
    <t>$745,887</t>
  </si>
  <si>
    <t>4.81B</t>
  </si>
  <si>
    <t>QuickSwap [Old]</t>
  </si>
  <si>
    <t>QUICK</t>
  </si>
  <si>
    <t>$11.42</t>
  </si>
  <si>
    <t>0.98%</t>
  </si>
  <si>
    <t>2.91%</t>
  </si>
  <si>
    <t>$8,833,591</t>
  </si>
  <si>
    <t>$3,418</t>
  </si>
  <si>
    <t>772.89K</t>
  </si>
  <si>
    <t>Peercoin</t>
  </si>
  <si>
    <t>PPC</t>
  </si>
  <si>
    <t>$0.2898</t>
  </si>
  <si>
    <t>1.05%</t>
  </si>
  <si>
    <t>$8,749,697</t>
  </si>
  <si>
    <t>$337</t>
  </si>
  <si>
    <t>30.18M</t>
  </si>
  <si>
    <t>TEXITcoin</t>
  </si>
  <si>
    <t>TXC</t>
  </si>
  <si>
    <t>$0.1388</t>
  </si>
  <si>
    <t>6.74%</t>
  </si>
  <si>
    <t>$8,740,202</t>
  </si>
  <si>
    <t>$182,739</t>
  </si>
  <si>
    <t>62.95M</t>
  </si>
  <si>
    <t>Nomina</t>
  </si>
  <si>
    <t>NOM</t>
  </si>
  <si>
    <t>$0.003003</t>
  </si>
  <si>
    <t>9.22%</t>
  </si>
  <si>
    <t>14.26%</t>
  </si>
  <si>
    <t>$8,711,298</t>
  </si>
  <si>
    <t>$80,581,214</t>
  </si>
  <si>
    <t>2.9B</t>
  </si>
  <si>
    <t>Divi</t>
  </si>
  <si>
    <t>DIVI</t>
  </si>
  <si>
    <t>$0.001526</t>
  </si>
  <si>
    <t>2.58%</t>
  </si>
  <si>
    <t>$7,086,275</t>
  </si>
  <si>
    <t>4.64B</t>
  </si>
  <si>
    <t>AKEDO</t>
  </si>
  <si>
    <t>AKE</t>
  </si>
  <si>
    <t>$0.0003087</t>
  </si>
  <si>
    <t>3.19%</t>
  </si>
  <si>
    <t>37.19%</t>
  </si>
  <si>
    <t>$7,039,426</t>
  </si>
  <si>
    <t>$1,936,497</t>
  </si>
  <si>
    <t>22.79B</t>
  </si>
  <si>
    <t>MAGIC•INTERNET•MONEY (Bitcoin)</t>
  </si>
  <si>
    <t>MIM</t>
  </si>
  <si>
    <t>$0.0003344</t>
  </si>
  <si>
    <t>0.38%</t>
  </si>
  <si>
    <t>4.97%</t>
  </si>
  <si>
    <t>7.13%</t>
  </si>
  <si>
    <t>$7,024,062</t>
  </si>
  <si>
    <t>$151,392</t>
  </si>
  <si>
    <t>21B</t>
  </si>
  <si>
    <t>WOM Protocol</t>
  </si>
  <si>
    <t>WOM</t>
  </si>
  <si>
    <t>$0.03635</t>
  </si>
  <si>
    <t>27.58%</t>
  </si>
  <si>
    <t>$7,017,099</t>
  </si>
  <si>
    <t>$0</t>
  </si>
  <si>
    <t>193M</t>
  </si>
  <si>
    <t>Neon EVM</t>
  </si>
  <si>
    <t>NEON</t>
  </si>
  <si>
    <t>$0.02914</t>
  </si>
  <si>
    <t>1.34%</t>
  </si>
  <si>
    <t>$6,980,232</t>
  </si>
  <si>
    <t>$651,250</t>
  </si>
  <si>
    <t>239.46M</t>
  </si>
  <si>
    <t>Mansory</t>
  </si>
  <si>
    <t>MNSRY</t>
  </si>
  <si>
    <t>$0.007765</t>
  </si>
  <si>
    <t>4.56%</t>
  </si>
  <si>
    <t>$6,988,499</t>
  </si>
  <si>
    <t>$209,894</t>
  </si>
  <si>
    <t>899.98M</t>
  </si>
  <si>
    <t>Gleec Coin</t>
  </si>
  <si>
    <t>GLEEC</t>
  </si>
  <si>
    <t>$0.03835</t>
  </si>
  <si>
    <t>4.47%</t>
  </si>
  <si>
    <t>42.03%</t>
  </si>
  <si>
    <t>$6,971,131</t>
  </si>
  <si>
    <t>181.75M</t>
  </si>
  <si>
    <t>Asteroid (Asteroid OG)</t>
  </si>
  <si>
    <t>ASTEROID</t>
  </si>
  <si>
    <t>$0.006935</t>
  </si>
  <si>
    <t>12.06%</t>
  </si>
  <si>
    <t>240.06%</t>
  </si>
  <si>
    <t>$6,935,028</t>
  </si>
  <si>
    <t>$7,838,229</t>
  </si>
  <si>
    <t>Viction</t>
  </si>
  <si>
    <t>VIC</t>
  </si>
  <si>
    <t>$0.05480</t>
  </si>
  <si>
    <t>1.47%</t>
  </si>
  <si>
    <t>4.08%</t>
  </si>
  <si>
    <t>$6,920,914</t>
  </si>
  <si>
    <t>$591,729</t>
  </si>
  <si>
    <t>126.28M</t>
  </si>
  <si>
    <t>LOAN Protocol</t>
  </si>
  <si>
    <t>LOAN</t>
  </si>
  <si>
    <t>$0.0003750</t>
  </si>
  <si>
    <t>1.02%</t>
  </si>
  <si>
    <t>22.30%</t>
  </si>
  <si>
    <t>$6,903,033</t>
  </si>
  <si>
    <t>$98,930</t>
  </si>
  <si>
    <t>18.4B</t>
  </si>
  <si>
    <t>MOBOX</t>
  </si>
  <si>
    <t>MBOX</t>
  </si>
  <si>
    <t>$0.01254</t>
  </si>
  <si>
    <t>$6,903,904</t>
  </si>
  <si>
    <t>$7,469,390</t>
  </si>
  <si>
    <t>550.32M</t>
  </si>
  <si>
    <t>GameStop (gamestop-coin.vip)</t>
  </si>
  <si>
    <t>GME</t>
  </si>
  <si>
    <t>$0.00001644</t>
  </si>
  <si>
    <t>$6,765,129</t>
  </si>
  <si>
    <t>$79,822</t>
  </si>
  <si>
    <t>411.29B</t>
  </si>
  <si>
    <t>PIVX</t>
  </si>
  <si>
    <t>$0.06582</t>
  </si>
  <si>
    <t>15.00%</t>
  </si>
  <si>
    <t>$6,754,774</t>
  </si>
  <si>
    <t>$2,138,810</t>
  </si>
  <si>
    <t>102.61M</t>
  </si>
  <si>
    <t>Save</t>
  </si>
  <si>
    <t>SAVE</t>
  </si>
  <si>
    <t>$0.1472</t>
  </si>
  <si>
    <t>$6,722,137</t>
  </si>
  <si>
    <t>45.66M</t>
  </si>
  <si>
    <t>Pkoin</t>
  </si>
  <si>
    <t>PKOIN</t>
  </si>
  <si>
    <t>$0.3857</t>
  </si>
  <si>
    <t>2.17%</t>
  </si>
  <si>
    <t>2.18%</t>
  </si>
  <si>
    <t>$5,371,167</t>
  </si>
  <si>
    <t>$48,474</t>
  </si>
  <si>
    <t>13.92M</t>
  </si>
  <si>
    <t>Everscale</t>
  </si>
  <si>
    <t>EVER</t>
  </si>
  <si>
    <t>$0.002704</t>
  </si>
  <si>
    <t>1.48%</t>
  </si>
  <si>
    <t>5.54%</t>
  </si>
  <si>
    <t>33.23%</t>
  </si>
  <si>
    <t>$5,369,578</t>
  </si>
  <si>
    <t>$15,957</t>
  </si>
  <si>
    <t>1.98B</t>
  </si>
  <si>
    <t>Diamond</t>
  </si>
  <si>
    <t>DMD</t>
  </si>
  <si>
    <t>$1.45</t>
  </si>
  <si>
    <t>$5,361,551</t>
  </si>
  <si>
    <t>$49,697</t>
  </si>
  <si>
    <t>3.68M</t>
  </si>
  <si>
    <t>Wexo</t>
  </si>
  <si>
    <t>WEXO</t>
  </si>
  <si>
    <t>$0.01821</t>
  </si>
  <si>
    <t>7.34%</t>
  </si>
  <si>
    <t>$5,341,252</t>
  </si>
  <si>
    <t>$127,522</t>
  </si>
  <si>
    <t>293.19M</t>
  </si>
  <si>
    <t>Croatian Football Federation Token</t>
  </si>
  <si>
    <t>VATRENI</t>
  </si>
  <si>
    <t>$1.38</t>
  </si>
  <si>
    <t>11.30%</t>
  </si>
  <si>
    <t>33.25%</t>
  </si>
  <si>
    <t>$5,334,624</t>
  </si>
  <si>
    <t>$2,198</t>
  </si>
  <si>
    <t>3.86M</t>
  </si>
  <si>
    <t>SpaceChain</t>
  </si>
  <si>
    <t>SPC</t>
  </si>
  <si>
    <t>$0.01735</t>
  </si>
  <si>
    <t>$5,329,930</t>
  </si>
  <si>
    <t>307.18M</t>
  </si>
  <si>
    <t>PumpBTC (Governance token)</t>
  </si>
  <si>
    <t>PUMP</t>
  </si>
  <si>
    <t>$0.01865</t>
  </si>
  <si>
    <t>2.04%</t>
  </si>
  <si>
    <t>26.11%</t>
  </si>
  <si>
    <t>16.85%</t>
  </si>
  <si>
    <t>$5,318,015</t>
  </si>
  <si>
    <t>$9,229,876</t>
  </si>
  <si>
    <t>285M</t>
  </si>
  <si>
    <t>MileVerse</t>
  </si>
  <si>
    <t>MVC</t>
  </si>
  <si>
    <t>$0.001933</t>
  </si>
  <si>
    <t>2.76%</t>
  </si>
  <si>
    <t>16.34%</t>
  </si>
  <si>
    <t>20.02%</t>
  </si>
  <si>
    <t>$5,338,978</t>
  </si>
  <si>
    <t>$12,306,576</t>
  </si>
  <si>
    <t>2.76B</t>
  </si>
  <si>
    <t>Boson Protocol</t>
  </si>
  <si>
    <t>BOSON</t>
  </si>
  <si>
    <t>$0.03113</t>
  </si>
  <si>
    <t>$5,307,159</t>
  </si>
  <si>
    <t>$47,780</t>
  </si>
  <si>
    <t>170.46M</t>
  </si>
  <si>
    <t>Openverse Network</t>
  </si>
  <si>
    <t>$2.81</t>
  </si>
  <si>
    <t>2.72%</t>
  </si>
  <si>
    <t>$5,344,497</t>
  </si>
  <si>
    <t>$576,860</t>
  </si>
  <si>
    <t>1.9M</t>
  </si>
  <si>
    <t>GamerCoin</t>
  </si>
  <si>
    <t>GHX</t>
  </si>
  <si>
    <t>$0.008131</t>
  </si>
  <si>
    <t>10.83%</t>
  </si>
  <si>
    <t>$5,285,190</t>
  </si>
  <si>
    <t>$317,140</t>
  </si>
  <si>
    <t>649.96M</t>
  </si>
  <si>
    <t>MCOIN</t>
  </si>
  <si>
    <t>$0.02980</t>
  </si>
  <si>
    <t>$5,275,322</t>
  </si>
  <si>
    <t>$322,826</t>
  </si>
  <si>
    <t>177M</t>
  </si>
  <si>
    <t>Swell Network</t>
  </si>
  <si>
    <t>SWELL</t>
  </si>
  <si>
    <t>$0.001165</t>
  </si>
  <si>
    <t>1.70%</t>
  </si>
  <si>
    <t>$5,258,248</t>
  </si>
  <si>
    <t>$600,203</t>
  </si>
  <si>
    <t>Covalent X Token</t>
  </si>
  <si>
    <t>CXT</t>
  </si>
  <si>
    <t>$0.005268</t>
  </si>
  <si>
    <t>$5,236,697</t>
  </si>
  <si>
    <t>$292,895</t>
  </si>
  <si>
    <t>993.89M</t>
  </si>
  <si>
    <t>Stonks</t>
  </si>
  <si>
    <t>STNK</t>
  </si>
  <si>
    <t>$6.85</t>
  </si>
  <si>
    <t>8.46%</t>
  </si>
  <si>
    <t>12.40%</t>
  </si>
  <si>
    <t>$3,989,390</t>
  </si>
  <si>
    <t>$92,583</t>
  </si>
  <si>
    <t>581.87K</t>
  </si>
  <si>
    <t>Unibright</t>
  </si>
  <si>
    <t>UBT</t>
  </si>
  <si>
    <t>$0.02649</t>
  </si>
  <si>
    <t>6.30%</t>
  </si>
  <si>
    <t>3.02%</t>
  </si>
  <si>
    <t>$3,973,979</t>
  </si>
  <si>
    <t>$0.8055</t>
  </si>
  <si>
    <t>149.99M</t>
  </si>
  <si>
    <t>FEED EVERY GORILLA</t>
  </si>
  <si>
    <t>FEG</t>
  </si>
  <si>
    <t>$0.00004605</t>
  </si>
  <si>
    <t>3.20%</t>
  </si>
  <si>
    <t>51.71%</t>
  </si>
  <si>
    <t>$3,969,203</t>
  </si>
  <si>
    <t>$629,530</t>
  </si>
  <si>
    <t>86.18B</t>
  </si>
  <si>
    <t>GAIB</t>
  </si>
  <si>
    <t>$0.01930</t>
  </si>
  <si>
    <t>0.87%</t>
  </si>
  <si>
    <t>$3,954,397</t>
  </si>
  <si>
    <t>$445,039</t>
  </si>
  <si>
    <t>204.83M</t>
  </si>
  <si>
    <t>Observer</t>
  </si>
  <si>
    <t>OBSR</t>
  </si>
  <si>
    <t>$0.0006068</t>
  </si>
  <si>
    <t>0.97%</t>
  </si>
  <si>
    <t>$3,948,510</t>
  </si>
  <si>
    <t>$1,118,494</t>
  </si>
  <si>
    <t>6.5B</t>
  </si>
  <si>
    <t>BigONE Token</t>
  </si>
  <si>
    <t>ONE</t>
  </si>
  <si>
    <t>$0.0004586</t>
  </si>
  <si>
    <t>0.40%</t>
  </si>
  <si>
    <t>4.77%</t>
  </si>
  <si>
    <t>$3,936,740</t>
  </si>
  <si>
    <t>Edel</t>
  </si>
  <si>
    <t>EDEL</t>
  </si>
  <si>
    <t>$0.006687</t>
  </si>
  <si>
    <t>3.39%</t>
  </si>
  <si>
    <t>15.38%</t>
  </si>
  <si>
    <t>$3,913,001</t>
  </si>
  <si>
    <t>$719,552</t>
  </si>
  <si>
    <t>585.14M</t>
  </si>
  <si>
    <t>Quantoz EURQ</t>
  </si>
  <si>
    <t>EURQ</t>
  </si>
  <si>
    <t>$1.16</t>
  </si>
  <si>
    <t>$3,912,186</t>
  </si>
  <si>
    <t>$15,502,397</t>
  </si>
  <si>
    <t>3.35M</t>
  </si>
  <si>
    <t>Inflation Hedging Coin</t>
  </si>
  <si>
    <t>IHC</t>
  </si>
  <si>
    <t>$0.00003261</t>
  </si>
  <si>
    <t>4.34%</t>
  </si>
  <si>
    <t>$3,901,883</t>
  </si>
  <si>
    <t>$1,483</t>
  </si>
  <si>
    <t>119.64B</t>
  </si>
  <si>
    <t>BRN Metaverse</t>
  </si>
  <si>
    <t>BRN</t>
  </si>
  <si>
    <t>$0.1389</t>
  </si>
  <si>
    <t>28.55%</t>
  </si>
  <si>
    <t>$3,897,022</t>
  </si>
  <si>
    <t>$136,765</t>
  </si>
  <si>
    <t>28.04M</t>
  </si>
  <si>
    <t>Cointel</t>
  </si>
  <si>
    <t>COLS</t>
  </si>
  <si>
    <t>$0.006878</t>
  </si>
  <si>
    <t>40.18%</t>
  </si>
  <si>
    <t>$3,895,364</t>
  </si>
  <si>
    <t>$1,959,808</t>
  </si>
  <si>
    <t>566.34M</t>
  </si>
  <si>
    <t>VestChain</t>
  </si>
  <si>
    <t>VEST</t>
  </si>
  <si>
    <t>$0.0009827</t>
  </si>
  <si>
    <t>$3,877,783</t>
  </si>
  <si>
    <t>3.94B</t>
  </si>
  <si>
    <t>Lingo</t>
  </si>
  <si>
    <t>LINGO</t>
  </si>
  <si>
    <t>$0.007971</t>
  </si>
  <si>
    <t>$3,875,951</t>
  </si>
  <si>
    <t>$250,968</t>
  </si>
  <si>
    <t>486.2M</t>
  </si>
  <si>
    <t>Odos</t>
  </si>
  <si>
    <t>ODOS</t>
  </si>
  <si>
    <t>$0.001041</t>
  </si>
  <si>
    <t>2.53%</t>
  </si>
  <si>
    <t>4.31%</t>
  </si>
  <si>
    <t>$3,874,379</t>
  </si>
  <si>
    <t>$71,326</t>
  </si>
  <si>
    <t>3.71B</t>
  </si>
  <si>
    <t>Ren</t>
  </si>
  <si>
    <t>REN</t>
  </si>
  <si>
    <t>$0.003077</t>
  </si>
  <si>
    <t>13.93%</t>
  </si>
  <si>
    <t>$3,055,921</t>
  </si>
  <si>
    <t>$30,021</t>
  </si>
  <si>
    <t>992.87M</t>
  </si>
  <si>
    <t>WAR</t>
  </si>
  <si>
    <t>$0.003033</t>
  </si>
  <si>
    <t>$3,033,512</t>
  </si>
  <si>
    <t>$1,377,465</t>
  </si>
  <si>
    <t>Real</t>
  </si>
  <si>
    <t>REAL</t>
  </si>
  <si>
    <t>$0.003046</t>
  </si>
  <si>
    <t>13.07%</t>
  </si>
  <si>
    <t>$3,031,864</t>
  </si>
  <si>
    <t>$201,319</t>
  </si>
  <si>
    <t>995.21M</t>
  </si>
  <si>
    <t>Gearbox Protocol</t>
  </si>
  <si>
    <t>GEAR</t>
  </si>
  <si>
    <t>$0.0003029</t>
  </si>
  <si>
    <t>4.69%</t>
  </si>
  <si>
    <t>13.54%</t>
  </si>
  <si>
    <t>20.62%</t>
  </si>
  <si>
    <t>$3,029,471</t>
  </si>
  <si>
    <t>$14,801</t>
  </si>
  <si>
    <t>10B</t>
  </si>
  <si>
    <t>zkVerify</t>
  </si>
  <si>
    <t>VFY</t>
  </si>
  <si>
    <t>$0.008380</t>
  </si>
  <si>
    <t>$3,021,696</t>
  </si>
  <si>
    <t>$300,326</t>
  </si>
  <si>
    <t>360.56M</t>
  </si>
  <si>
    <t>Sharp</t>
  </si>
  <si>
    <t>SHARP</t>
  </si>
  <si>
    <t>$0.001113</t>
  </si>
  <si>
    <t>$2,991,745</t>
  </si>
  <si>
    <t>$119,464</t>
  </si>
  <si>
    <t>2.68B</t>
  </si>
  <si>
    <t>Dexsport</t>
  </si>
  <si>
    <t>DESU</t>
  </si>
  <si>
    <t>31.07%</t>
  </si>
  <si>
    <t>$2,989,467</t>
  </si>
  <si>
    <t>$6,138</t>
  </si>
  <si>
    <t>195.63M</t>
  </si>
  <si>
    <t>Hachiko</t>
  </si>
  <si>
    <t>$HACHI</t>
  </si>
  <si>
    <t>$0.083062</t>
  </si>
  <si>
    <t>5.60%</t>
  </si>
  <si>
    <t>7.73%</t>
  </si>
  <si>
    <t>$2,988,465</t>
  </si>
  <si>
    <t>$131,593</t>
  </si>
  <si>
    <t>975.81T</t>
  </si>
  <si>
    <t>Stake DAO</t>
  </si>
  <si>
    <t>SDT</t>
  </si>
  <si>
    <t>$0.1239</t>
  </si>
  <si>
    <t>4.61%</t>
  </si>
  <si>
    <t>14.50%</t>
  </si>
  <si>
    <t>$2,962,669</t>
  </si>
  <si>
    <t>$1,782</t>
  </si>
  <si>
    <t>23.89M</t>
  </si>
  <si>
    <t>IBStoken</t>
  </si>
  <si>
    <t>IBS</t>
  </si>
  <si>
    <t>$0.0007332</t>
  </si>
  <si>
    <t>2.02%</t>
  </si>
  <si>
    <t>$2,951,486</t>
  </si>
  <si>
    <t>$104,434</t>
  </si>
  <si>
    <t>4.02B</t>
  </si>
  <si>
    <t>Kendu</t>
  </si>
  <si>
    <t>KENDU</t>
  </si>
  <si>
    <t>$0.053110</t>
  </si>
  <si>
    <t>0.73%</t>
  </si>
  <si>
    <t>11.69%</t>
  </si>
  <si>
    <t>$2,949,896</t>
  </si>
  <si>
    <t>$2,969</t>
  </si>
  <si>
    <t>948.42B</t>
  </si>
  <si>
    <t>GOLDAO</t>
  </si>
  <si>
    <t>$0.003717</t>
  </si>
  <si>
    <t>13.04%</t>
  </si>
  <si>
    <t>$2,945,952</t>
  </si>
  <si>
    <t>$491</t>
  </si>
  <si>
    <t>792.55M</t>
  </si>
  <si>
    <t>Rarible</t>
  </si>
  <si>
    <t>RARI</t>
  </si>
  <si>
    <t>$0.1510</t>
  </si>
  <si>
    <t>$2,944,123</t>
  </si>
  <si>
    <t>$254,009</t>
  </si>
  <si>
    <t>19.48M</t>
  </si>
  <si>
    <t>American Coin</t>
  </si>
  <si>
    <t>USA</t>
  </si>
  <si>
    <t>$0.062120</t>
  </si>
  <si>
    <t>1.04%</t>
  </si>
  <si>
    <t>4.17%</t>
  </si>
  <si>
    <t>$2,451,641</t>
  </si>
  <si>
    <t>$187,217</t>
  </si>
  <si>
    <t>11.56T</t>
  </si>
  <si>
    <t>Myro</t>
  </si>
  <si>
    <t>MYRO</t>
  </si>
  <si>
    <t>$0.002595</t>
  </si>
  <si>
    <t>6.51%</t>
  </si>
  <si>
    <t>12.84%</t>
  </si>
  <si>
    <t>$2,450,440</t>
  </si>
  <si>
    <t>$492,467</t>
  </si>
  <si>
    <t>944.2M</t>
  </si>
  <si>
    <t>Vai</t>
  </si>
  <si>
    <t>VAI</t>
  </si>
  <si>
    <t>$0.9993</t>
  </si>
  <si>
    <t>$2,440,204</t>
  </si>
  <si>
    <t>$2,008</t>
  </si>
  <si>
    <t>2.44M</t>
  </si>
  <si>
    <t>MANEKI</t>
  </si>
  <si>
    <t>$0.0002751</t>
  </si>
  <si>
    <t>5.25%</t>
  </si>
  <si>
    <t>$2,437,868</t>
  </si>
  <si>
    <t>$124,370</t>
  </si>
  <si>
    <t>8.85B</t>
  </si>
  <si>
    <t>Vertical AI</t>
  </si>
  <si>
    <t>VERTAI</t>
  </si>
  <si>
    <t>$0.02435</t>
  </si>
  <si>
    <t>4.54%</t>
  </si>
  <si>
    <t>$2,435,203</t>
  </si>
  <si>
    <t>$143,141</t>
  </si>
  <si>
    <t>Dora Factory</t>
  </si>
  <si>
    <t>DORA</t>
  </si>
  <si>
    <t>$0.004535</t>
  </si>
  <si>
    <t>1.68%</t>
  </si>
  <si>
    <t>9.84%</t>
  </si>
  <si>
    <t>$2,437,004</t>
  </si>
  <si>
    <t>$258,266</t>
  </si>
  <si>
    <t>537.27M</t>
  </si>
  <si>
    <t>NUMINE</t>
  </si>
  <si>
    <t>NUMI</t>
  </si>
  <si>
    <t>$0.01226</t>
  </si>
  <si>
    <t>3.27%</t>
  </si>
  <si>
    <t>13.14%</t>
  </si>
  <si>
    <t>$2,429,388</t>
  </si>
  <si>
    <t>$226,365</t>
  </si>
  <si>
    <t>198.05M</t>
  </si>
  <si>
    <t>QuantumCoin</t>
  </si>
  <si>
    <t>Q</t>
  </si>
  <si>
    <t>$0.061327</t>
  </si>
  <si>
    <t>$2,418,869</t>
  </si>
  <si>
    <t>$92</t>
  </si>
  <si>
    <t>18.22T</t>
  </si>
  <si>
    <t>Zypto</t>
  </si>
  <si>
    <t>ZYPTO</t>
  </si>
  <si>
    <t>$0.002687</t>
  </si>
  <si>
    <t>9.01%</t>
  </si>
  <si>
    <t>$2,409,578</t>
  </si>
  <si>
    <t>$61,679</t>
  </si>
  <si>
    <t>896.45M</t>
  </si>
  <si>
    <t>Quq</t>
  </si>
  <si>
    <t>QUQ</t>
  </si>
  <si>
    <t>$0.002399</t>
  </si>
  <si>
    <t>2.03%</t>
  </si>
  <si>
    <t>11.09%</t>
  </si>
  <si>
    <t>$2,399,071</t>
  </si>
  <si>
    <t>$407,765,936</t>
  </si>
  <si>
    <t>fanC</t>
  </si>
  <si>
    <t>FANC</t>
  </si>
  <si>
    <t>$0.001370</t>
  </si>
  <si>
    <t>$2,390,793</t>
  </si>
  <si>
    <t>$270,652</t>
  </si>
  <si>
    <t>1.74B</t>
  </si>
  <si>
    <t>Propbase</t>
  </si>
  <si>
    <t>PROPS</t>
  </si>
  <si>
    <t>$0.004990</t>
  </si>
  <si>
    <t>$2,386,811</t>
  </si>
  <si>
    <t>$709,108</t>
  </si>
  <si>
    <t>478.26M</t>
  </si>
  <si>
    <t>Russell</t>
  </si>
  <si>
    <t>RUSSELL</t>
  </si>
  <si>
    <t>$0.002456</t>
  </si>
  <si>
    <t>$2,384,847</t>
  </si>
  <si>
    <t>$798,438</t>
  </si>
  <si>
    <t>970.98M</t>
  </si>
  <si>
    <t>CEEK VR</t>
  </si>
  <si>
    <t>CEEK</t>
  </si>
  <si>
    <t>$0.002958</t>
  </si>
  <si>
    <t>2.21%</t>
  </si>
  <si>
    <t>$2,383,405</t>
  </si>
  <si>
    <t>$56,260</t>
  </si>
  <si>
    <t>805.71M</t>
  </si>
  <si>
    <t>Housecoin</t>
  </si>
  <si>
    <t>HOUSE</t>
  </si>
  <si>
    <t>$0.001995</t>
  </si>
  <si>
    <t>2.99%</t>
  </si>
  <si>
    <t>28.59%</t>
  </si>
  <si>
    <t>28.15%</t>
  </si>
  <si>
    <t>$1,992,338</t>
  </si>
  <si>
    <t>$2,253,955</t>
  </si>
  <si>
    <t>998.58M</t>
  </si>
  <si>
    <t>Primecoin</t>
  </si>
  <si>
    <t>XPM</t>
  </si>
  <si>
    <t>$0.03435</t>
  </si>
  <si>
    <t>2.56%</t>
  </si>
  <si>
    <t>$1,986,050</t>
  </si>
  <si>
    <t>$172</t>
  </si>
  <si>
    <t>57.8M</t>
  </si>
  <si>
    <t>LIBRA</t>
  </si>
  <si>
    <t>$0.006609</t>
  </si>
  <si>
    <t>44.38%</t>
  </si>
  <si>
    <t>49.02%</t>
  </si>
  <si>
    <t>$1,982,754</t>
  </si>
  <si>
    <t>299.98M</t>
  </si>
  <si>
    <t>VAIOT</t>
  </si>
  <si>
    <t>$0.004998</t>
  </si>
  <si>
    <t>0.53%</t>
  </si>
  <si>
    <t>17.88%</t>
  </si>
  <si>
    <t>$1,982,330</t>
  </si>
  <si>
    <t>$69,220</t>
  </si>
  <si>
    <t>396.6M</t>
  </si>
  <si>
    <t>Populous</t>
  </si>
  <si>
    <t>PPT</t>
  </si>
  <si>
    <t>$0.03715</t>
  </si>
  <si>
    <t>5.61%</t>
  </si>
  <si>
    <t>0.64%</t>
  </si>
  <si>
    <t>$1,978,660</t>
  </si>
  <si>
    <t>53.25M</t>
  </si>
  <si>
    <t>Mochimo</t>
  </si>
  <si>
    <t>MCM</t>
  </si>
  <si>
    <t>$0.07057</t>
  </si>
  <si>
    <t>$1,976,084</t>
  </si>
  <si>
    <t>$1,963</t>
  </si>
  <si>
    <t>28M</t>
  </si>
  <si>
    <t>TaleX</t>
  </si>
  <si>
    <t>X</t>
  </si>
  <si>
    <t>$0.01315</t>
  </si>
  <si>
    <t>1.36%</t>
  </si>
  <si>
    <t>$1,973,996</t>
  </si>
  <si>
    <t>$40,947</t>
  </si>
  <si>
    <t>150M</t>
  </si>
  <si>
    <t>Mayflower AI</t>
  </si>
  <si>
    <t>MAY</t>
  </si>
  <si>
    <t>$0.005903</t>
  </si>
  <si>
    <t>1.58%</t>
  </si>
  <si>
    <t>5.70%</t>
  </si>
  <si>
    <t>$1,972,884</t>
  </si>
  <si>
    <t>$1,987,433</t>
  </si>
  <si>
    <t>334.17M</t>
  </si>
  <si>
    <t>QuStream</t>
  </si>
  <si>
    <t>QST</t>
  </si>
  <si>
    <t>$0.002620</t>
  </si>
  <si>
    <t>15.39%</t>
  </si>
  <si>
    <t>$1,969,690</t>
  </si>
  <si>
    <t>$9,856</t>
  </si>
  <si>
    <t>751.51M</t>
  </si>
  <si>
    <t>iMe Lab</t>
  </si>
  <si>
    <t>LIME</t>
  </si>
  <si>
    <t>$0.002607</t>
  </si>
  <si>
    <t>0.92%</t>
  </si>
  <si>
    <t>$1,967,318</t>
  </si>
  <si>
    <t>$155,561</t>
  </si>
  <si>
    <t>754.34M</t>
  </si>
  <si>
    <t>CeluvPlay</t>
  </si>
  <si>
    <t>CELB</t>
  </si>
  <si>
    <t>$0.008233</t>
  </si>
  <si>
    <t>$1,965,718</t>
  </si>
  <si>
    <t>$58</t>
  </si>
  <si>
    <t>238.75M</t>
  </si>
  <si>
    <t>HI</t>
  </si>
  <si>
    <t>$0.00003165</t>
  </si>
  <si>
    <t>23.51%</t>
  </si>
  <si>
    <t>1.67%</t>
  </si>
  <si>
    <t>$1,964,541</t>
  </si>
  <si>
    <t>$19</t>
  </si>
  <si>
    <t>62.07B</t>
  </si>
  <si>
    <t>Nibiru</t>
  </si>
  <si>
    <t>NIBI</t>
  </si>
  <si>
    <t>$0.002004</t>
  </si>
  <si>
    <t>4.64%</t>
  </si>
  <si>
    <t>$1,963,781</t>
  </si>
  <si>
    <t>$266,964</t>
  </si>
  <si>
    <t>979.75M</t>
  </si>
  <si>
    <t>Tottenham Hotspur Fan Token</t>
  </si>
  <si>
    <t>SPURS</t>
  </si>
  <si>
    <t>$0.1562</t>
  </si>
  <si>
    <t>1.60%</t>
  </si>
  <si>
    <t>$1,962,027</t>
  </si>
  <si>
    <t>$5,175,937</t>
  </si>
  <si>
    <t>12.55M</t>
  </si>
  <si>
    <t>OpenChat</t>
  </si>
  <si>
    <t>CHAT</t>
  </si>
  <si>
    <t>$0.06507</t>
  </si>
  <si>
    <t>8.16%</t>
  </si>
  <si>
    <t>$1,948,954</t>
  </si>
  <si>
    <t>$45,939</t>
  </si>
  <si>
    <t>29.94M</t>
  </si>
  <si>
    <t>Crypto Asset Governance Alliance</t>
  </si>
  <si>
    <t>CAGA</t>
  </si>
  <si>
    <t>$0.00002585</t>
  </si>
  <si>
    <t>14.99%</t>
  </si>
  <si>
    <t>$1,589,739</t>
  </si>
  <si>
    <t>$38</t>
  </si>
  <si>
    <t>61.49B</t>
  </si>
  <si>
    <t>Areum</t>
  </si>
  <si>
    <t>AREA</t>
  </si>
  <si>
    <t>$0.01337</t>
  </si>
  <si>
    <t>6.05%</t>
  </si>
  <si>
    <t>15.68%</t>
  </si>
  <si>
    <t>$1,576,631</t>
  </si>
  <si>
    <t>$1,141</t>
  </si>
  <si>
    <t>117.86M</t>
  </si>
  <si>
    <t>Aleph Zero</t>
  </si>
  <si>
    <t>AZERO</t>
  </si>
  <si>
    <t>$0.005866</t>
  </si>
  <si>
    <t>7.99%</t>
  </si>
  <si>
    <t>15.36%</t>
  </si>
  <si>
    <t>$1,565,062</t>
  </si>
  <si>
    <t>$115,244</t>
  </si>
  <si>
    <t>266.77M</t>
  </si>
  <si>
    <t>CatCoin</t>
  </si>
  <si>
    <t>CAT</t>
  </si>
  <si>
    <t>$0.0103130</t>
  </si>
  <si>
    <t>4.82%</t>
  </si>
  <si>
    <t>7.66%</t>
  </si>
  <si>
    <t>$1,565,008</t>
  </si>
  <si>
    <t>$1,353,303</t>
  </si>
  <si>
    <t>50P</t>
  </si>
  <si>
    <t>NodeOps</t>
  </si>
  <si>
    <t>NODE</t>
  </si>
  <si>
    <t>$0.01171</t>
  </si>
  <si>
    <t>$1,562,888</t>
  </si>
  <si>
    <t>$3,046,178</t>
  </si>
  <si>
    <t>133.39M</t>
  </si>
  <si>
    <t>cheqd</t>
  </si>
  <si>
    <t>CHEQ</t>
  </si>
  <si>
    <t>$0.002426</t>
  </si>
  <si>
    <t>17.04%</t>
  </si>
  <si>
    <t>$1,559,156</t>
  </si>
  <si>
    <t>$162,969</t>
  </si>
  <si>
    <t>642.49M</t>
  </si>
  <si>
    <t>Mistery On Cro</t>
  </si>
  <si>
    <t>MERY</t>
  </si>
  <si>
    <t>$0.053785</t>
  </si>
  <si>
    <t>0.68%</t>
  </si>
  <si>
    <t>3.86%</t>
  </si>
  <si>
    <t>10.14%</t>
  </si>
  <si>
    <t>$1,553,294</t>
  </si>
  <si>
    <t>$14,256</t>
  </si>
  <si>
    <t>410.27B</t>
  </si>
  <si>
    <t>Chrono.tech</t>
  </si>
  <si>
    <t>TIME</t>
  </si>
  <si>
    <t>$2.18</t>
  </si>
  <si>
    <t>1.53%</t>
  </si>
  <si>
    <t>95.97%</t>
  </si>
  <si>
    <t>306.35%</t>
  </si>
  <si>
    <t>$1,551,621</t>
  </si>
  <si>
    <t>$591,632</t>
  </si>
  <si>
    <t>710.11K</t>
  </si>
  <si>
    <t>toyow</t>
  </si>
  <si>
    <t>TTN</t>
  </si>
  <si>
    <t>$0.07279</t>
  </si>
  <si>
    <t>0.69%</t>
  </si>
  <si>
    <t>1.27%</t>
  </si>
  <si>
    <t>$1,541,897</t>
  </si>
  <si>
    <t>$1,316,694</t>
  </si>
  <si>
    <t>21.18M</t>
  </si>
  <si>
    <t>Crypterium</t>
  </si>
  <si>
    <t>CRPT</t>
  </si>
  <si>
    <t>$0.01619</t>
  </si>
  <si>
    <t>$1,532,553</t>
  </si>
  <si>
    <t>94.65M</t>
  </si>
  <si>
    <t>Swash</t>
  </si>
  <si>
    <t>SWASH</t>
  </si>
  <si>
    <t>$0.001535</t>
  </si>
  <si>
    <t>$1,527,682</t>
  </si>
  <si>
    <t>$631</t>
  </si>
  <si>
    <t>994.96M</t>
  </si>
  <si>
    <t>Dingocoin</t>
  </si>
  <si>
    <t>DINGO</t>
  </si>
  <si>
    <t>$0.00001325</t>
  </si>
  <si>
    <t>7.72%</t>
  </si>
  <si>
    <t>21.21%</t>
  </si>
  <si>
    <t>$1,526,436</t>
  </si>
  <si>
    <t>$182,725</t>
  </si>
  <si>
    <t>115.12B</t>
  </si>
  <si>
    <t>zKML</t>
  </si>
  <si>
    <t>ZKML</t>
  </si>
  <si>
    <t>$0.01578</t>
  </si>
  <si>
    <t>1.19%</t>
  </si>
  <si>
    <t>14.61%</t>
  </si>
  <si>
    <t>$1,522,807</t>
  </si>
  <si>
    <t>96.5M</t>
  </si>
  <si>
    <t>Owlto Finance</t>
  </si>
  <si>
    <t>OWL</t>
  </si>
  <si>
    <t>$0.003939</t>
  </si>
  <si>
    <t>8.39%</t>
  </si>
  <si>
    <t>11.88%</t>
  </si>
  <si>
    <t>$1,299,890</t>
  </si>
  <si>
    <t>$1,248,530</t>
  </si>
  <si>
    <t>330M</t>
  </si>
  <si>
    <t>TMX</t>
  </si>
  <si>
    <t>$2.50</t>
  </si>
  <si>
    <t>$1,298,342</t>
  </si>
  <si>
    <t>517.85K</t>
  </si>
  <si>
    <t>MSQUARE GLOBAL</t>
  </si>
  <si>
    <t>MSQ</t>
  </si>
  <si>
    <t>$0.2163</t>
  </si>
  <si>
    <t>14.22%</t>
  </si>
  <si>
    <t>$1,295,887</t>
  </si>
  <si>
    <t>$22,343</t>
  </si>
  <si>
    <t>5.99M</t>
  </si>
  <si>
    <t>XRP Healthcare</t>
  </si>
  <si>
    <t>XRPH</t>
  </si>
  <si>
    <t>$0.01830</t>
  </si>
  <si>
    <t>2.66%</t>
  </si>
  <si>
    <t>13.12%</t>
  </si>
  <si>
    <t>$1,294,610</t>
  </si>
  <si>
    <t>$58,860</t>
  </si>
  <si>
    <t>70.7M</t>
  </si>
  <si>
    <t>Pepe Unchained (New)</t>
  </si>
  <si>
    <t>PEPU</t>
  </si>
  <si>
    <t>$0.0001226</t>
  </si>
  <si>
    <t>$1,294,378</t>
  </si>
  <si>
    <t>$222,584</t>
  </si>
  <si>
    <t>10.55B</t>
  </si>
  <si>
    <t>Shrapnel</t>
  </si>
  <si>
    <t>SHRAP</t>
  </si>
  <si>
    <t>$0.0004497</t>
  </si>
  <si>
    <t>19.46%</t>
  </si>
  <si>
    <t>29.22%</t>
  </si>
  <si>
    <t>$1,285,748</t>
  </si>
  <si>
    <t>$7,936</t>
  </si>
  <si>
    <t>2.85B</t>
  </si>
  <si>
    <t>dForce</t>
  </si>
  <si>
    <t>DF</t>
  </si>
  <si>
    <t>$0.001283</t>
  </si>
  <si>
    <t>$1,283,708</t>
  </si>
  <si>
    <t>$22,761</t>
  </si>
  <si>
    <t>999.92M</t>
  </si>
  <si>
    <t>Ranger</t>
  </si>
  <si>
    <t>RNGR</t>
  </si>
  <si>
    <t>$0.1254</t>
  </si>
  <si>
    <t>2.19%</t>
  </si>
  <si>
    <t>28.64%</t>
  </si>
  <si>
    <t>$1,279,070</t>
  </si>
  <si>
    <t>$99,436</t>
  </si>
  <si>
    <t>10.19M</t>
  </si>
  <si>
    <t>Orbit Chain</t>
  </si>
  <si>
    <t>ORC</t>
  </si>
  <si>
    <t>$0.001874</t>
  </si>
  <si>
    <t>1.65%</t>
  </si>
  <si>
    <t>4.81%</t>
  </si>
  <si>
    <t>$1,277,302</t>
  </si>
  <si>
    <t>$138</t>
  </si>
  <si>
    <t>681.55M</t>
  </si>
  <si>
    <t>Energi</t>
  </si>
  <si>
    <t>NRG</t>
  </si>
  <si>
    <t>$0.01252</t>
  </si>
  <si>
    <t>$1,265,403</t>
  </si>
  <si>
    <t>$133,476</t>
  </si>
  <si>
    <t>101.06M</t>
  </si>
  <si>
    <t>JINDOGE</t>
  </si>
  <si>
    <t>JINDO</t>
  </si>
  <si>
    <t>$0.001265</t>
  </si>
  <si>
    <t>26.60%</t>
  </si>
  <si>
    <t>$1,265,309</t>
  </si>
  <si>
    <t>$36,911</t>
  </si>
  <si>
    <t>StarSlax</t>
  </si>
  <si>
    <t>SSLX</t>
  </si>
  <si>
    <t>$0.0005054</t>
  </si>
  <si>
    <t>$1,264,345</t>
  </si>
  <si>
    <t>$201,581</t>
  </si>
  <si>
    <t>END</t>
  </si>
  <si>
    <t>$0.008217</t>
  </si>
  <si>
    <t>2.74%</t>
  </si>
  <si>
    <t>$1,050,198</t>
  </si>
  <si>
    <t>127.8M</t>
  </si>
  <si>
    <t>Port3 Network</t>
  </si>
  <si>
    <t>PORT3</t>
  </si>
  <si>
    <t>$0.001512</t>
  </si>
  <si>
    <t>17.18%</t>
  </si>
  <si>
    <t>$1,048,117</t>
  </si>
  <si>
    <t>$70,293</t>
  </si>
  <si>
    <t>692.89M</t>
  </si>
  <si>
    <t>Artyfact</t>
  </si>
  <si>
    <t>ARTY</t>
  </si>
  <si>
    <t>$0.05373</t>
  </si>
  <si>
    <t>1.49%</t>
  </si>
  <si>
    <t>13.76%</t>
  </si>
  <si>
    <t>$1,046,844</t>
  </si>
  <si>
    <t>$1,399,754</t>
  </si>
  <si>
    <t>Clore.ai</t>
  </si>
  <si>
    <t>CLORE</t>
  </si>
  <si>
    <t>$0.001641</t>
  </si>
  <si>
    <t>1.01%</t>
  </si>
  <si>
    <t>$1,043,314</t>
  </si>
  <si>
    <t>$888,197</t>
  </si>
  <si>
    <t>635.71M</t>
  </si>
  <si>
    <t>BABB</t>
  </si>
  <si>
    <t>BAX</t>
  </si>
  <si>
    <t>$0.00001250</t>
  </si>
  <si>
    <t>10.43%</t>
  </si>
  <si>
    <t>$1,042,702</t>
  </si>
  <si>
    <t>$45,796</t>
  </si>
  <si>
    <t>83.35B</t>
  </si>
  <si>
    <t>Momo (momocoin.info)</t>
  </si>
  <si>
    <t>MOMO</t>
  </si>
  <si>
    <t>$0.001046</t>
  </si>
  <si>
    <t>6.09%</t>
  </si>
  <si>
    <t>$1,041,108</t>
  </si>
  <si>
    <t>$340,077</t>
  </si>
  <si>
    <t>994.62M</t>
  </si>
  <si>
    <t>Dtec</t>
  </si>
  <si>
    <t>DTEC</t>
  </si>
  <si>
    <t>$0.006241</t>
  </si>
  <si>
    <t>3.29%</t>
  </si>
  <si>
    <t>$1,039,767</t>
  </si>
  <si>
    <t>$186,735</t>
  </si>
  <si>
    <t>166.57M</t>
  </si>
  <si>
    <t>Storm Trade</t>
  </si>
  <si>
    <t>STORM</t>
  </si>
  <si>
    <t>$0.004013</t>
  </si>
  <si>
    <t>7.30%</t>
  </si>
  <si>
    <t>$1,036,378</t>
  </si>
  <si>
    <t>$168,169</t>
  </si>
  <si>
    <t>258.22M</t>
  </si>
  <si>
    <t>LinqAI</t>
  </si>
  <si>
    <t>LNQ</t>
  </si>
  <si>
    <t>$0.002898</t>
  </si>
  <si>
    <t>13.74%</t>
  </si>
  <si>
    <t>$1,031,494</t>
  </si>
  <si>
    <t>$121,456</t>
  </si>
  <si>
    <t>355.9M</t>
  </si>
  <si>
    <t>Punkvism</t>
  </si>
  <si>
    <t>PVT</t>
  </si>
  <si>
    <t>$0.0004588</t>
  </si>
  <si>
    <t>7.57%</t>
  </si>
  <si>
    <t>$1,013,562</t>
  </si>
  <si>
    <t>$64,025</t>
  </si>
  <si>
    <t>Pepe 2.0 (pepe20.vip)</t>
  </si>
  <si>
    <t>PEPE2.0</t>
  </si>
  <si>
    <t>$0.082158</t>
  </si>
  <si>
    <t>$1,012,494</t>
  </si>
  <si>
    <t>$73,052</t>
  </si>
  <si>
    <t>469T</t>
  </si>
  <si>
    <t>Curculating_Supply($)</t>
  </si>
  <si>
    <t>Rank_downfall(%)</t>
  </si>
  <si>
    <t>Grand Total</t>
  </si>
  <si>
    <t xml:space="preserve"> Coin Name</t>
  </si>
  <si>
    <t xml:space="preserve"> Average Downfall %</t>
  </si>
  <si>
    <t>(Multiple Items)</t>
  </si>
  <si>
    <t xml:space="preserve"> Price (USD)</t>
  </si>
  <si>
    <t>Key Performance Indicators</t>
  </si>
  <si>
    <t>Price</t>
  </si>
  <si>
    <t>Average Downfall</t>
  </si>
  <si>
    <t>Total Coins</t>
  </si>
  <si>
    <t>Count of Price (USD)</t>
  </si>
  <si>
    <t>Data Source: CoinMarketCap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</si>
</sst>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sz val="11"/>
      <color theme="0" tint="-0.249977111117893"/>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0" fontId="2" fillId="2" borderId="0" xfId="0" applyFont="1" applyFill="1"/>
    <xf numFmtId="0" fontId="2" fillId="3" borderId="0" xfId="0" applyFont="1" applyFill="1"/>
    <xf numFmtId="0" fontId="0" fillId="3" borderId="0" xfId="0" applyFill="1"/>
    <xf numFmtId="0" fontId="1" fillId="2" borderId="0" xfId="0" applyFont="1" applyFill="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[Crpto_Project_01.xlsx]Pivot_tables!PivotTable1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rgbClr val="FF0000"/>
                </a:solidFill>
              </a:rPr>
              <a:t>Total</a:t>
            </a:r>
            <a:r>
              <a:rPr lang="en-IN" baseline="0">
                <a:solidFill>
                  <a:srgbClr val="FF0000"/>
                </a:solidFill>
              </a:rPr>
              <a:t>  Least 10 Downfall Coins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Pivot_tables!$C$2</c:f>
              <c:strCache>
                <c:ptCount val="1"/>
                <c:pt idx="0">
                  <c:v>Total</c:v>
                </c:pt>
              </c:strCache>
            </c:strRef>
          </c:tx>
          <c:spPr>
            <a:solidFill>
              <a:schemeClr val="accent1"/>
            </a:solidFill>
            <a:ln>
              <a:noFill/>
            </a:ln>
            <a:effectLst/>
          </c:spPr>
          <c:invertIfNegative val="0"/>
          <c:cat>
            <c:strRef>
              <c:f>Pivot_tables!$B$3:$B$13</c:f>
              <c:strCache>
                <c:ptCount val="10"/>
                <c:pt idx="0">
                  <c:v>SuperWalk</c:v>
                </c:pt>
                <c:pt idx="1">
                  <c:v>FEED EVERY GORILLA</c:v>
                </c:pt>
                <c:pt idx="2">
                  <c:v>Layer3</c:v>
                </c:pt>
                <c:pt idx="3">
                  <c:v>Housecoin</c:v>
                </c:pt>
                <c:pt idx="4">
                  <c:v>Superform</c:v>
                </c:pt>
                <c:pt idx="5">
                  <c:v>BugsCoin</c:v>
                </c:pt>
                <c:pt idx="6">
                  <c:v>Gensyn</c:v>
                </c:pt>
                <c:pt idx="7">
                  <c:v>TAC Protocol</c:v>
                </c:pt>
                <c:pt idx="8">
                  <c:v>Asteroid (Asteroid OG)</c:v>
                </c:pt>
                <c:pt idx="9">
                  <c:v>Chrono.tech</c:v>
                </c:pt>
              </c:strCache>
            </c:strRef>
          </c:cat>
          <c:val>
            <c:numRef>
              <c:f>Pivot_tables!$C$3:$C$13</c:f>
              <c:numCache>
                <c:formatCode>General</c:formatCode>
                <c:ptCount val="10"/>
                <c:pt idx="0">
                  <c:v>16.940000000000001</c:v>
                </c:pt>
                <c:pt idx="1">
                  <c:v>18.41333333333333</c:v>
                </c:pt>
                <c:pt idx="2">
                  <c:v>19.559999999999999</c:v>
                </c:pt>
                <c:pt idx="3">
                  <c:v>19.91</c:v>
                </c:pt>
                <c:pt idx="4">
                  <c:v>30.38</c:v>
                </c:pt>
                <c:pt idx="5">
                  <c:v>33.483333333333327</c:v>
                </c:pt>
                <c:pt idx="6">
                  <c:v>33.89</c:v>
                </c:pt>
                <c:pt idx="7">
                  <c:v>48.486666666666672</c:v>
                </c:pt>
                <c:pt idx="8">
                  <c:v>84.986666666666665</c:v>
                </c:pt>
                <c:pt idx="9">
                  <c:v>134.6166666666667</c:v>
                </c:pt>
              </c:numCache>
            </c:numRef>
          </c:val>
          <c:extLst>
            <c:ext xmlns:c16="http://schemas.microsoft.com/office/drawing/2014/chart" uri="{C3380CC4-5D6E-409C-BE32-E72D297353CC}">
              <c16:uniqueId val="{00000000-3349-48E0-828A-A77ABB2B9A77}"/>
            </c:ext>
          </c:extLst>
        </c:ser>
        <c:dLbls>
          <c:showLegendKey val="0"/>
          <c:showVal val="0"/>
          <c:showCatName val="0"/>
          <c:showSerName val="0"/>
          <c:showPercent val="0"/>
          <c:showBubbleSize val="0"/>
        </c:dLbls>
        <c:gapWidth val="219"/>
        <c:axId val="513040592"/>
        <c:axId val="513042992"/>
      </c:barChart>
      <c:catAx>
        <c:axId val="51304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13042992"/>
        <c:crosses val="autoZero"/>
        <c:auto val="1"/>
        <c:lblAlgn val="ctr"/>
        <c:lblOffset val="100"/>
        <c:noMultiLvlLbl val="0"/>
      </c:catAx>
      <c:valAx>
        <c:axId val="513042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1304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500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prstDash val="solid"/>
      <a:round/>
    </a:ln>
    <a:effectLst>
      <a:glow rad="101600">
        <a:schemeClr val="accent2">
          <a:satMod val="175000"/>
          <a:alpha val="40000"/>
        </a:schemeClr>
      </a:glow>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[Crpto_Project_01.xlsx]Pivot_tables!PivotTable2</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0" i="0" u="none" strike="noStrike" baseline="0">
                <a:solidFill>
                  <a:srgbClr val="FF0000"/>
                </a:solidFill>
              </a:rPr>
              <a:t>Top 10 Least Downfall Coins – Price Comparison</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Pivot_tables!$C$31</c:f>
              <c:strCache>
                <c:ptCount val="1"/>
                <c:pt idx="0">
                  <c:v>Total</c:v>
                </c:pt>
              </c:strCache>
            </c:strRef>
          </c:tx>
          <c:spPr>
            <a:solidFill>
              <a:schemeClr val="accent1"/>
            </a:solidFill>
            <a:ln>
              <a:noFill/>
            </a:ln>
            <a:effectLst/>
            <a:sp3d/>
          </c:spPr>
          <c:invertIfNegative val="0"/>
          <c:cat>
            <c:strRef>
              <c:f>Pivot_tables!$B$32:$B$42</c:f>
              <c:strCache>
                <c:ptCount val="10"/>
                <c:pt idx="0">
                  <c:v>Asteroid (Asteroid OG)</c:v>
                </c:pt>
                <c:pt idx="1">
                  <c:v>BugsCoin</c:v>
                </c:pt>
                <c:pt idx="2">
                  <c:v>Chrono.tech</c:v>
                </c:pt>
                <c:pt idx="3">
                  <c:v>FEED EVERY GORILLA</c:v>
                </c:pt>
                <c:pt idx="4">
                  <c:v>Gensyn</c:v>
                </c:pt>
                <c:pt idx="5">
                  <c:v>Housecoin</c:v>
                </c:pt>
                <c:pt idx="6">
                  <c:v>Layer3</c:v>
                </c:pt>
                <c:pt idx="7">
                  <c:v>Superform</c:v>
                </c:pt>
                <c:pt idx="8">
                  <c:v>SuperWalk</c:v>
                </c:pt>
                <c:pt idx="9">
                  <c:v>TAC Protocol</c:v>
                </c:pt>
              </c:strCache>
            </c:strRef>
          </c:cat>
          <c:val>
            <c:numRef>
              <c:f>Pivot_tables!$C$32:$C$42</c:f>
              <c:numCache>
                <c:formatCode>General</c:formatCode>
                <c:ptCount val="10"/>
                <c:pt idx="0">
                  <c:v>6.8999999999999999E-3</c:v>
                </c:pt>
                <c:pt idx="1">
                  <c:v>2E-3</c:v>
                </c:pt>
                <c:pt idx="2">
                  <c:v>2.1800000000000002</c:v>
                </c:pt>
                <c:pt idx="3">
                  <c:v>0</c:v>
                </c:pt>
                <c:pt idx="4">
                  <c:v>5.3400000000000003E-2</c:v>
                </c:pt>
                <c:pt idx="5">
                  <c:v>2E-3</c:v>
                </c:pt>
                <c:pt idx="6">
                  <c:v>1.37E-2</c:v>
                </c:pt>
                <c:pt idx="7">
                  <c:v>0.10879999999999999</c:v>
                </c:pt>
                <c:pt idx="8">
                  <c:v>3.3599999999999998E-2</c:v>
                </c:pt>
                <c:pt idx="9">
                  <c:v>1.5800000000000002E-2</c:v>
                </c:pt>
              </c:numCache>
            </c:numRef>
          </c:val>
          <c:extLst>
            <c:ext xmlns:c16="http://schemas.microsoft.com/office/drawing/2014/chart" uri="{C3380CC4-5D6E-409C-BE32-E72D297353CC}">
              <c16:uniqueId val="{00000000-B40F-4113-8F23-75B335CAC2C4}"/>
            </c:ext>
          </c:extLst>
        </c:ser>
        <c:dLbls>
          <c:showLegendKey val="0"/>
          <c:showVal val="0"/>
          <c:showCatName val="0"/>
          <c:showSerName val="0"/>
          <c:showPercent val="0"/>
          <c:showBubbleSize val="0"/>
        </c:dLbls>
        <c:gapWidth val="150"/>
        <c:shape val="box"/>
        <c:axId val="732743760"/>
        <c:axId val="732754320"/>
        <c:axId val="0"/>
      </c:bar3DChart>
      <c:catAx>
        <c:axId val="732743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32754320"/>
        <c:crosses val="autoZero"/>
        <c:auto val="1"/>
        <c:lblAlgn val="ctr"/>
        <c:lblOffset val="100"/>
        <c:noMultiLvlLbl val="0"/>
      </c:catAx>
      <c:valAx>
        <c:axId val="732754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3274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round/>
    </a:ln>
    <a:effectLst>
      <a:outerShdw blurRad="63500" sx="102000" sy="102000" algn="ctr" rotWithShape="0">
        <a:srgbClr val="FF0000">
          <a:alpha val="40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[Crpto_Project_01.xlsx]Pivot_tables!PivotTable1</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2000" baseline="0">
                <a:solidFill>
                  <a:srgbClr val="FF0000"/>
                </a:solidFill>
              </a:rPr>
              <a:t>Top 10 Coins by Least Average Downfall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Pivot_tables!$C$2</c:f>
              <c:strCache>
                <c:ptCount val="1"/>
                <c:pt idx="0">
                  <c:v>Total</c:v>
                </c:pt>
              </c:strCache>
            </c:strRef>
          </c:tx>
          <c:spPr>
            <a:solidFill>
              <a:schemeClr val="accent1"/>
            </a:solidFill>
            <a:ln>
              <a:noFill/>
            </a:ln>
            <a:effectLst/>
          </c:spPr>
          <c:invertIfNegative val="0"/>
          <c:cat>
            <c:strRef>
              <c:f>Pivot_tables!$B$3:$B$13</c:f>
              <c:strCache>
                <c:ptCount val="10"/>
                <c:pt idx="0">
                  <c:v>SuperWalk</c:v>
                </c:pt>
                <c:pt idx="1">
                  <c:v>FEED EVERY GORILLA</c:v>
                </c:pt>
                <c:pt idx="2">
                  <c:v>Layer3</c:v>
                </c:pt>
                <c:pt idx="3">
                  <c:v>Housecoin</c:v>
                </c:pt>
                <c:pt idx="4">
                  <c:v>Superform</c:v>
                </c:pt>
                <c:pt idx="5">
                  <c:v>BugsCoin</c:v>
                </c:pt>
                <c:pt idx="6">
                  <c:v>Gensyn</c:v>
                </c:pt>
                <c:pt idx="7">
                  <c:v>TAC Protocol</c:v>
                </c:pt>
                <c:pt idx="8">
                  <c:v>Asteroid (Asteroid OG)</c:v>
                </c:pt>
                <c:pt idx="9">
                  <c:v>Chrono.tech</c:v>
                </c:pt>
              </c:strCache>
            </c:strRef>
          </c:cat>
          <c:val>
            <c:numRef>
              <c:f>Pivot_tables!$C$3:$C$13</c:f>
              <c:numCache>
                <c:formatCode>General</c:formatCode>
                <c:ptCount val="10"/>
                <c:pt idx="0">
                  <c:v>16.940000000000001</c:v>
                </c:pt>
                <c:pt idx="1">
                  <c:v>18.41333333333333</c:v>
                </c:pt>
                <c:pt idx="2">
                  <c:v>19.559999999999999</c:v>
                </c:pt>
                <c:pt idx="3">
                  <c:v>19.91</c:v>
                </c:pt>
                <c:pt idx="4">
                  <c:v>30.38</c:v>
                </c:pt>
                <c:pt idx="5">
                  <c:v>33.483333333333327</c:v>
                </c:pt>
                <c:pt idx="6">
                  <c:v>33.89</c:v>
                </c:pt>
                <c:pt idx="7">
                  <c:v>48.486666666666672</c:v>
                </c:pt>
                <c:pt idx="8">
                  <c:v>84.986666666666665</c:v>
                </c:pt>
                <c:pt idx="9">
                  <c:v>134.6166666666667</c:v>
                </c:pt>
              </c:numCache>
            </c:numRef>
          </c:val>
          <c:extLst>
            <c:ext xmlns:c16="http://schemas.microsoft.com/office/drawing/2014/chart" uri="{C3380CC4-5D6E-409C-BE32-E72D297353CC}">
              <c16:uniqueId val="{00000000-CD8C-46B0-8F68-F6197E1586A5}"/>
            </c:ext>
          </c:extLst>
        </c:ser>
        <c:dLbls>
          <c:showLegendKey val="0"/>
          <c:showVal val="0"/>
          <c:showCatName val="0"/>
          <c:showSerName val="0"/>
          <c:showPercent val="0"/>
          <c:showBubbleSize val="0"/>
        </c:dLbls>
        <c:gapWidth val="219"/>
        <c:axId val="513040592"/>
        <c:axId val="513042992"/>
      </c:barChart>
      <c:catAx>
        <c:axId val="51304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13042992"/>
        <c:crosses val="autoZero"/>
        <c:auto val="1"/>
        <c:lblAlgn val="ctr"/>
        <c:lblOffset val="100"/>
        <c:noMultiLvlLbl val="0"/>
      </c:catAx>
      <c:valAx>
        <c:axId val="513042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1304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500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prstDash val="solid"/>
      <a:round/>
    </a:ln>
    <a:effectLst>
      <a:glow rad="101600">
        <a:schemeClr val="accent2">
          <a:satMod val="175000"/>
          <a:alpha val="40000"/>
        </a:schemeClr>
      </a:glow>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[Crpto_Project_01.xlsx]Pivot_tables!PivotTable2</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2000">
                <a:solidFill>
                  <a:srgbClr val="FF0000"/>
                </a:solidFill>
              </a:rPr>
              <a:t>Price Comparison of Top Stable Coins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Pivot_tables!$C$31</c:f>
              <c:strCache>
                <c:ptCount val="1"/>
                <c:pt idx="0">
                  <c:v>Total</c:v>
                </c:pt>
              </c:strCache>
            </c:strRef>
          </c:tx>
          <c:spPr>
            <a:solidFill>
              <a:schemeClr val="accent1"/>
            </a:solidFill>
            <a:ln>
              <a:noFill/>
            </a:ln>
            <a:effectLst/>
            <a:sp3d/>
          </c:spPr>
          <c:invertIfNegative val="0"/>
          <c:cat>
            <c:strRef>
              <c:f>Pivot_tables!$B$32:$B$42</c:f>
              <c:strCache>
                <c:ptCount val="10"/>
                <c:pt idx="0">
                  <c:v>Asteroid (Asteroid OG)</c:v>
                </c:pt>
                <c:pt idx="1">
                  <c:v>BugsCoin</c:v>
                </c:pt>
                <c:pt idx="2">
                  <c:v>Chrono.tech</c:v>
                </c:pt>
                <c:pt idx="3">
                  <c:v>FEED EVERY GORILLA</c:v>
                </c:pt>
                <c:pt idx="4">
                  <c:v>Gensyn</c:v>
                </c:pt>
                <c:pt idx="5">
                  <c:v>Housecoin</c:v>
                </c:pt>
                <c:pt idx="6">
                  <c:v>Layer3</c:v>
                </c:pt>
                <c:pt idx="7">
                  <c:v>Superform</c:v>
                </c:pt>
                <c:pt idx="8">
                  <c:v>SuperWalk</c:v>
                </c:pt>
                <c:pt idx="9">
                  <c:v>TAC Protocol</c:v>
                </c:pt>
              </c:strCache>
            </c:strRef>
          </c:cat>
          <c:val>
            <c:numRef>
              <c:f>Pivot_tables!$C$32:$C$42</c:f>
              <c:numCache>
                <c:formatCode>General</c:formatCode>
                <c:ptCount val="10"/>
                <c:pt idx="0">
                  <c:v>6.8999999999999999E-3</c:v>
                </c:pt>
                <c:pt idx="1">
                  <c:v>2E-3</c:v>
                </c:pt>
                <c:pt idx="2">
                  <c:v>2.1800000000000002</c:v>
                </c:pt>
                <c:pt idx="3">
                  <c:v>0</c:v>
                </c:pt>
                <c:pt idx="4">
                  <c:v>5.3400000000000003E-2</c:v>
                </c:pt>
                <c:pt idx="5">
                  <c:v>2E-3</c:v>
                </c:pt>
                <c:pt idx="6">
                  <c:v>1.37E-2</c:v>
                </c:pt>
                <c:pt idx="7">
                  <c:v>0.10879999999999999</c:v>
                </c:pt>
                <c:pt idx="8">
                  <c:v>3.3599999999999998E-2</c:v>
                </c:pt>
                <c:pt idx="9">
                  <c:v>1.5800000000000002E-2</c:v>
                </c:pt>
              </c:numCache>
            </c:numRef>
          </c:val>
          <c:extLst>
            <c:ext xmlns:c16="http://schemas.microsoft.com/office/drawing/2014/chart" uri="{C3380CC4-5D6E-409C-BE32-E72D297353CC}">
              <c16:uniqueId val="{00000000-7562-43E1-B7F5-C9DDA0FF44CF}"/>
            </c:ext>
          </c:extLst>
        </c:ser>
        <c:dLbls>
          <c:showLegendKey val="0"/>
          <c:showVal val="0"/>
          <c:showCatName val="0"/>
          <c:showSerName val="0"/>
          <c:showPercent val="0"/>
          <c:showBubbleSize val="0"/>
        </c:dLbls>
        <c:gapWidth val="150"/>
        <c:shape val="box"/>
        <c:axId val="732743760"/>
        <c:axId val="732754320"/>
        <c:axId val="0"/>
      </c:bar3DChart>
      <c:catAx>
        <c:axId val="732743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32754320"/>
        <c:crosses val="autoZero"/>
        <c:auto val="1"/>
        <c:lblAlgn val="ctr"/>
        <c:lblOffset val="100"/>
        <c:noMultiLvlLbl val="0"/>
      </c:catAx>
      <c:valAx>
        <c:axId val="732754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3274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round/>
    </a:ln>
    <a:effectLst>
      <a:outerShdw blurRad="63500" sx="102000" sy="102000" algn="ctr" rotWithShape="0">
        <a:srgbClr val="FF0000">
          <a:alpha val="40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685800</xdr:colOff>
      <xdr:row>13</xdr:row>
      <xdr:rowOff>114300</xdr:rowOff>
    </xdr:from>
    <xdr:to>
      <xdr:col>2</xdr:col>
      <xdr:colOff>927018</xdr:colOff>
      <xdr:row>27</xdr:row>
      <xdr:rowOff>60325</xdr:rowOff>
    </xdr:to>
    <mc:AlternateContent xmlns:mc="http://schemas.openxmlformats.org/markup-compatibility/2006">
      <mc:Choice xmlns:a14="http://schemas.microsoft.com/office/drawing/2010/main" Requires="a14">
        <xdr:graphicFrame macro="">
          <xdr:nvGraphicFramePr>
            <xdr:cNvPr id="2" name="Price Range">
              <a:extLst>
                <a:ext uri="{FF2B5EF4-FFF2-40B4-BE49-F238E27FC236}">
                  <a16:creationId xmlns:a16="http://schemas.microsoft.com/office/drawing/2014/main" id="{2C5120E7-04ED-ADFF-A5F0-DE8775620C9B}"/>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dr:sp macro="" textlink="">
          <xdr:nvSpPr>
            <xdr:cNvPr id="0" name=""/>
            <xdr:cNvSpPr>
              <a:spLocks noTextEdit="1"/>
            </xdr:cNvSpPr>
          </xdr:nvSpPr>
          <xdr:spPr>
            <a:xfrm>
              <a:off x="1293191" y="2447235"/>
              <a:ext cx="1828718" cy="2458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548341</xdr:colOff>
      <xdr:row>1</xdr:row>
      <xdr:rowOff>8218</xdr:rowOff>
    </xdr:from>
    <xdr:to>
      <xdr:col>10</xdr:col>
      <xdr:colOff>418353</xdr:colOff>
      <xdr:row>15</xdr:row>
      <xdr:rowOff>175933</xdr:rowOff>
    </xdr:to>
    <xdr:graphicFrame macro="">
      <xdr:nvGraphicFramePr>
        <xdr:cNvPr id="3" name="Chart 2">
          <a:extLst>
            <a:ext uri="{FF2B5EF4-FFF2-40B4-BE49-F238E27FC236}">
              <a16:creationId xmlns:a16="http://schemas.microsoft.com/office/drawing/2014/main" id="{E27A78F1-F2CD-FF70-8207-7E1A77F3C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1072029</xdr:colOff>
      <xdr:row>18</xdr:row>
      <xdr:rowOff>115048</xdr:rowOff>
    </xdr:from>
    <xdr:to>
      <xdr:col>10</xdr:col>
      <xdr:colOff>377265</xdr:colOff>
      <xdr:row>33</xdr:row>
      <xdr:rowOff>56778</xdr:rowOff>
    </xdr:to>
    <xdr:graphicFrame macro="">
      <xdr:nvGraphicFramePr>
        <xdr:cNvPr id="5" name="Chart 4">
          <a:extLst>
            <a:ext uri="{FF2B5EF4-FFF2-40B4-BE49-F238E27FC236}">
              <a16:creationId xmlns:a16="http://schemas.microsoft.com/office/drawing/2014/main" id="{B42D7EB5-BA4D-59B2-042C-28FEE8DA12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17809</xdr:colOff>
      <xdr:row>9</xdr:row>
      <xdr:rowOff>26968</xdr:rowOff>
    </xdr:from>
    <xdr:to>
      <xdr:col>14</xdr:col>
      <xdr:colOff>227949</xdr:colOff>
      <xdr:row>17</xdr:row>
      <xdr:rowOff>46811</xdr:rowOff>
    </xdr:to>
    <xdr:sp macro="" textlink="B3">
      <xdr:nvSpPr>
        <xdr:cNvPr id="7" name="Rectangle: Rounded Corners 6">
          <a:extLst>
            <a:ext uri="{FF2B5EF4-FFF2-40B4-BE49-F238E27FC236}">
              <a16:creationId xmlns:a16="http://schemas.microsoft.com/office/drawing/2014/main" id="{5D9A7441-AE81-8B19-AA4D-EA6A6818F782}"/>
            </a:ext>
          </a:extLst>
        </xdr:cNvPr>
        <xdr:cNvSpPr/>
      </xdr:nvSpPr>
      <xdr:spPr>
        <a:xfrm>
          <a:off x="10877937" y="1638891"/>
          <a:ext cx="2163986" cy="1452664"/>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EB4C9D3D-4C45-4771-B39F-F8A8D8DC7F59}" type="TxLink">
            <a:rPr lang="en-US" sz="1100" b="0" i="0" u="none" strike="noStrike">
              <a:solidFill>
                <a:srgbClr val="000000"/>
              </a:solidFill>
              <a:latin typeface="Calibri"/>
              <a:ea typeface="Calibri"/>
              <a:cs typeface="Calibri"/>
            </a:rPr>
            <a:pPr algn="ctr"/>
            <a:t>SuperWalk</a:t>
          </a:fld>
          <a:endParaRPr lang="en-IN" sz="1100"/>
        </a:p>
      </xdr:txBody>
    </xdr:sp>
    <xdr:clientData/>
  </xdr:twoCellAnchor>
  <xdr:twoCellAnchor>
    <xdr:from>
      <xdr:col>11</xdr:col>
      <xdr:colOff>293077</xdr:colOff>
      <xdr:row>10</xdr:row>
      <xdr:rowOff>32564</xdr:rowOff>
    </xdr:from>
    <xdr:to>
      <xdr:col>14</xdr:col>
      <xdr:colOff>48847</xdr:colOff>
      <xdr:row>11</xdr:row>
      <xdr:rowOff>81410</xdr:rowOff>
    </xdr:to>
    <xdr:sp macro="" textlink="">
      <xdr:nvSpPr>
        <xdr:cNvPr id="8" name="TextBox 7">
          <a:extLst>
            <a:ext uri="{FF2B5EF4-FFF2-40B4-BE49-F238E27FC236}">
              <a16:creationId xmlns:a16="http://schemas.microsoft.com/office/drawing/2014/main" id="{3DC3FBFF-D11B-8236-5375-348F3874D0DA}"/>
            </a:ext>
          </a:extLst>
        </xdr:cNvPr>
        <xdr:cNvSpPr txBox="1"/>
      </xdr:nvSpPr>
      <xdr:spPr>
        <a:xfrm>
          <a:off x="11153205" y="1823590"/>
          <a:ext cx="1709616" cy="227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FF0000"/>
              </a:solidFill>
            </a:rPr>
            <a:t>Coin</a:t>
          </a:r>
          <a:r>
            <a:rPr lang="en-IN" sz="1100" b="1" baseline="0">
              <a:solidFill>
                <a:srgbClr val="FF0000"/>
              </a:solidFill>
            </a:rPr>
            <a:t> Name</a:t>
          </a:r>
          <a:endParaRPr lang="en-IN" sz="1100" b="1">
            <a:solidFill>
              <a:srgbClr val="FF0000"/>
            </a:solidFill>
          </a:endParaRPr>
        </a:p>
      </xdr:txBody>
    </xdr:sp>
    <xdr:clientData/>
  </xdr:twoCellAnchor>
  <xdr:twoCellAnchor>
    <xdr:from>
      <xdr:col>16</xdr:col>
      <xdr:colOff>321554</xdr:colOff>
      <xdr:row>9</xdr:row>
      <xdr:rowOff>144371</xdr:rowOff>
    </xdr:from>
    <xdr:to>
      <xdr:col>23</xdr:col>
      <xdr:colOff>125239</xdr:colOff>
      <xdr:row>16</xdr:row>
      <xdr:rowOff>160653</xdr:rowOff>
    </xdr:to>
    <xdr:sp macro="" textlink="E46">
      <xdr:nvSpPr>
        <xdr:cNvPr id="9" name="Rectangle: Rounded Corners 8">
          <a:extLst>
            <a:ext uri="{FF2B5EF4-FFF2-40B4-BE49-F238E27FC236}">
              <a16:creationId xmlns:a16="http://schemas.microsoft.com/office/drawing/2014/main" id="{2E8C0964-F839-4E0D-8FC9-C58571B5FC5C}"/>
            </a:ext>
          </a:extLst>
        </xdr:cNvPr>
        <xdr:cNvSpPr/>
      </xdr:nvSpPr>
      <xdr:spPr>
        <a:xfrm>
          <a:off x="13899745" y="1846711"/>
          <a:ext cx="2965175" cy="134032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422C7AF8-9C4D-4650-9A55-17D9620143AD}" type="TxLink">
            <a:rPr lang="en-US" sz="1100" b="0" i="0" u="none" strike="noStrike">
              <a:solidFill>
                <a:srgbClr val="000000"/>
              </a:solidFill>
              <a:latin typeface="Calibri"/>
              <a:ea typeface="Calibri"/>
              <a:cs typeface="Calibri"/>
            </a:rPr>
            <a:t>GRND</a:t>
          </a:fld>
          <a:endParaRPr lang="en-IN" sz="1100" b="0" i="0" u="none" strike="noStrike">
            <a:solidFill>
              <a:srgbClr val="000000"/>
            </a:solidFill>
            <a:latin typeface="Calibri"/>
            <a:ea typeface="Calibri"/>
            <a:cs typeface="Calibri"/>
          </a:endParaRPr>
        </a:p>
      </xdr:txBody>
    </xdr:sp>
    <xdr:clientData/>
  </xdr:twoCellAnchor>
  <xdr:twoCellAnchor>
    <xdr:from>
      <xdr:col>17</xdr:col>
      <xdr:colOff>341922</xdr:colOff>
      <xdr:row>10</xdr:row>
      <xdr:rowOff>48845</xdr:rowOff>
    </xdr:from>
    <xdr:to>
      <xdr:col>22</xdr:col>
      <xdr:colOff>146538</xdr:colOff>
      <xdr:row>11</xdr:row>
      <xdr:rowOff>130256</xdr:rowOff>
    </xdr:to>
    <xdr:sp macro="" textlink="">
      <xdr:nvSpPr>
        <xdr:cNvPr id="10" name="TextBox 9">
          <a:extLst>
            <a:ext uri="{FF2B5EF4-FFF2-40B4-BE49-F238E27FC236}">
              <a16:creationId xmlns:a16="http://schemas.microsoft.com/office/drawing/2014/main" id="{D659F330-C486-42B3-B40A-6F8DC83D9783}"/>
            </a:ext>
          </a:extLst>
        </xdr:cNvPr>
        <xdr:cNvSpPr txBox="1"/>
      </xdr:nvSpPr>
      <xdr:spPr>
        <a:xfrm>
          <a:off x="15761025" y="1839871"/>
          <a:ext cx="2230641" cy="2605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FF0000"/>
              </a:solidFill>
            </a:rPr>
            <a:t>Coin</a:t>
          </a:r>
          <a:r>
            <a:rPr lang="en-IN" sz="1100" b="1" baseline="0">
              <a:solidFill>
                <a:srgbClr val="FF0000"/>
              </a:solidFill>
            </a:rPr>
            <a:t> Symbol</a:t>
          </a:r>
          <a:endParaRPr lang="en-IN" sz="1100" b="1">
            <a:solidFill>
              <a:srgbClr val="FF0000"/>
            </a:solidFill>
          </a:endParaRPr>
        </a:p>
      </xdr:txBody>
    </xdr:sp>
    <xdr:clientData/>
  </xdr:twoCellAnchor>
  <xdr:twoCellAnchor>
    <xdr:from>
      <xdr:col>26</xdr:col>
      <xdr:colOff>13511</xdr:colOff>
      <xdr:row>9</xdr:row>
      <xdr:rowOff>162128</xdr:rowOff>
    </xdr:from>
    <xdr:to>
      <xdr:col>30</xdr:col>
      <xdr:colOff>34503</xdr:colOff>
      <xdr:row>17</xdr:row>
      <xdr:rowOff>181971</xdr:rowOff>
    </xdr:to>
    <xdr:sp macro="" textlink="E48">
      <xdr:nvSpPr>
        <xdr:cNvPr id="11" name="Rectangle: Rounded Corners 10">
          <a:extLst>
            <a:ext uri="{FF2B5EF4-FFF2-40B4-BE49-F238E27FC236}">
              <a16:creationId xmlns:a16="http://schemas.microsoft.com/office/drawing/2014/main" id="{B5E172F9-070D-4F49-969E-852255B0C6CF}"/>
            </a:ext>
          </a:extLst>
        </xdr:cNvPr>
        <xdr:cNvSpPr/>
      </xdr:nvSpPr>
      <xdr:spPr>
        <a:xfrm>
          <a:off x="17969149" y="1864468"/>
          <a:ext cx="2142163" cy="153303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C3069FBB-C191-485C-90AC-413EA2CCE537}" type="TxLink">
            <a:rPr lang="en-US" sz="1100" b="0" i="0" u="none" strike="noStrike">
              <a:solidFill>
                <a:srgbClr val="000000"/>
              </a:solidFill>
              <a:latin typeface="Calibri"/>
              <a:ea typeface="Calibri"/>
              <a:cs typeface="Calibri"/>
            </a:rPr>
            <a:t>0.0336</a:t>
          </a:fld>
          <a:endParaRPr lang="en-IN" sz="1100" b="0" i="0" u="none" strike="noStrike">
            <a:solidFill>
              <a:srgbClr val="000000"/>
            </a:solidFill>
            <a:latin typeface="Calibri"/>
            <a:ea typeface="Calibri"/>
            <a:cs typeface="Calibri"/>
          </a:endParaRPr>
        </a:p>
      </xdr:txBody>
    </xdr:sp>
    <xdr:clientData/>
  </xdr:twoCellAnchor>
  <xdr:twoCellAnchor>
    <xdr:from>
      <xdr:col>26</xdr:col>
      <xdr:colOff>216170</xdr:colOff>
      <xdr:row>10</xdr:row>
      <xdr:rowOff>121597</xdr:rowOff>
    </xdr:from>
    <xdr:to>
      <xdr:col>29</xdr:col>
      <xdr:colOff>216171</xdr:colOff>
      <xdr:row>11</xdr:row>
      <xdr:rowOff>175639</xdr:rowOff>
    </xdr:to>
    <xdr:sp macro="" textlink="">
      <xdr:nvSpPr>
        <xdr:cNvPr id="12" name="TextBox 11">
          <a:extLst>
            <a:ext uri="{FF2B5EF4-FFF2-40B4-BE49-F238E27FC236}">
              <a16:creationId xmlns:a16="http://schemas.microsoft.com/office/drawing/2014/main" id="{3185CA9F-6FAB-48A0-B0EB-D4DBE17BBAF9}"/>
            </a:ext>
          </a:extLst>
        </xdr:cNvPr>
        <xdr:cNvSpPr txBox="1"/>
      </xdr:nvSpPr>
      <xdr:spPr>
        <a:xfrm>
          <a:off x="17996170" y="2013086"/>
          <a:ext cx="1702341" cy="2431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FF0000"/>
              </a:solidFill>
            </a:rPr>
            <a:t>Price</a:t>
          </a:r>
        </a:p>
      </xdr:txBody>
    </xdr:sp>
    <xdr:clientData/>
  </xdr:twoCellAnchor>
  <xdr:twoCellAnchor>
    <xdr:from>
      <xdr:col>33</xdr:col>
      <xdr:colOff>0</xdr:colOff>
      <xdr:row>10</xdr:row>
      <xdr:rowOff>0</xdr:rowOff>
    </xdr:from>
    <xdr:to>
      <xdr:col>38</xdr:col>
      <xdr:colOff>331737</xdr:colOff>
      <xdr:row>18</xdr:row>
      <xdr:rowOff>19843</xdr:rowOff>
    </xdr:to>
    <xdr:sp macro="" textlink="E50">
      <xdr:nvSpPr>
        <xdr:cNvPr id="13" name="Rectangle: Rounded Corners 12">
          <a:extLst>
            <a:ext uri="{FF2B5EF4-FFF2-40B4-BE49-F238E27FC236}">
              <a16:creationId xmlns:a16="http://schemas.microsoft.com/office/drawing/2014/main" id="{2EDCB913-5FD9-418D-86F2-99D18C993875}"/>
            </a:ext>
          </a:extLst>
        </xdr:cNvPr>
        <xdr:cNvSpPr/>
      </xdr:nvSpPr>
      <xdr:spPr>
        <a:xfrm>
          <a:off x="21090106" y="1891489"/>
          <a:ext cx="2142163" cy="153303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9B94F9A7-9CA4-4670-910C-D912F8CED8D1}" type="TxLink">
            <a:rPr lang="en-US" sz="1100" b="0" i="0" u="none" strike="noStrike">
              <a:solidFill>
                <a:srgbClr val="000000"/>
              </a:solidFill>
              <a:latin typeface="Calibri"/>
              <a:ea typeface="Calibri"/>
              <a:cs typeface="Calibri"/>
            </a:rPr>
            <a:t>16.94</a:t>
          </a:fld>
          <a:endParaRPr lang="en-IN" sz="1100" b="0" i="0" u="none" strike="noStrike">
            <a:solidFill>
              <a:srgbClr val="000000"/>
            </a:solidFill>
            <a:latin typeface="Calibri"/>
            <a:ea typeface="Calibri"/>
            <a:cs typeface="Calibri"/>
          </a:endParaRPr>
        </a:p>
      </xdr:txBody>
    </xdr:sp>
    <xdr:clientData/>
  </xdr:twoCellAnchor>
  <xdr:twoCellAnchor>
    <xdr:from>
      <xdr:col>33</xdr:col>
      <xdr:colOff>162128</xdr:colOff>
      <xdr:row>10</xdr:row>
      <xdr:rowOff>148617</xdr:rowOff>
    </xdr:from>
    <xdr:to>
      <xdr:col>38</xdr:col>
      <xdr:colOff>175638</xdr:colOff>
      <xdr:row>12</xdr:row>
      <xdr:rowOff>40533</xdr:rowOff>
    </xdr:to>
    <xdr:sp macro="" textlink="">
      <xdr:nvSpPr>
        <xdr:cNvPr id="14" name="TextBox 13">
          <a:extLst>
            <a:ext uri="{FF2B5EF4-FFF2-40B4-BE49-F238E27FC236}">
              <a16:creationId xmlns:a16="http://schemas.microsoft.com/office/drawing/2014/main" id="{67C83284-C34B-4C1F-8FDE-B63789678063}"/>
            </a:ext>
          </a:extLst>
        </xdr:cNvPr>
        <xdr:cNvSpPr txBox="1"/>
      </xdr:nvSpPr>
      <xdr:spPr>
        <a:xfrm>
          <a:off x="21252234" y="2040106"/>
          <a:ext cx="1823936" cy="2702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FF0000"/>
              </a:solidFill>
            </a:rPr>
            <a:t>Average</a:t>
          </a:r>
          <a:r>
            <a:rPr lang="en-IN" sz="1100" b="1" baseline="0">
              <a:solidFill>
                <a:srgbClr val="FF0000"/>
              </a:solidFill>
            </a:rPr>
            <a:t> Downfall %</a:t>
          </a:r>
          <a:endParaRPr lang="en-IN" sz="1100" b="1">
            <a:solidFill>
              <a:srgbClr val="FF0000"/>
            </a:solidFill>
          </a:endParaRPr>
        </a:p>
      </xdr:txBody>
    </xdr:sp>
    <xdr:clientData/>
  </xdr:twoCellAnchor>
  <xdr:twoCellAnchor>
    <xdr:from>
      <xdr:col>40</xdr:col>
      <xdr:colOff>0</xdr:colOff>
      <xdr:row>10</xdr:row>
      <xdr:rowOff>0</xdr:rowOff>
    </xdr:from>
    <xdr:to>
      <xdr:col>46</xdr:col>
      <xdr:colOff>266609</xdr:colOff>
      <xdr:row>18</xdr:row>
      <xdr:rowOff>19843</xdr:rowOff>
    </xdr:to>
    <xdr:sp macro="" textlink="E52">
      <xdr:nvSpPr>
        <xdr:cNvPr id="15" name="Rectangle: Rounded Corners 14">
          <a:extLst>
            <a:ext uri="{FF2B5EF4-FFF2-40B4-BE49-F238E27FC236}">
              <a16:creationId xmlns:a16="http://schemas.microsoft.com/office/drawing/2014/main" id="{6A7E03FF-8216-4C6C-937F-1C24E8A75013}"/>
            </a:ext>
          </a:extLst>
        </xdr:cNvPr>
        <xdr:cNvSpPr/>
      </xdr:nvSpPr>
      <xdr:spPr>
        <a:xfrm>
          <a:off x="24651026" y="1791026"/>
          <a:ext cx="2139045" cy="1452663"/>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0D6CC460-2906-48E1-BE3D-71027CED169B}" type="TxLink">
            <a:rPr lang="en-US" sz="1100" b="0" i="0" u="none" strike="noStrike">
              <a:solidFill>
                <a:srgbClr val="000000"/>
              </a:solidFill>
              <a:latin typeface="Calibri"/>
              <a:ea typeface="Calibri"/>
              <a:cs typeface="Calibri"/>
            </a:rPr>
            <a:t>263</a:t>
          </a:fld>
          <a:endParaRPr lang="en-IN" sz="1100" b="0" i="0" u="none" strike="noStrike">
            <a:solidFill>
              <a:srgbClr val="000000"/>
            </a:solidFill>
            <a:latin typeface="Calibri"/>
            <a:ea typeface="Calibri"/>
            <a:cs typeface="Calibri"/>
          </a:endParaRPr>
        </a:p>
      </xdr:txBody>
    </xdr:sp>
    <xdr:clientData/>
  </xdr:twoCellAnchor>
  <xdr:twoCellAnchor>
    <xdr:from>
      <xdr:col>40</xdr:col>
      <xdr:colOff>244230</xdr:colOff>
      <xdr:row>10</xdr:row>
      <xdr:rowOff>97692</xdr:rowOff>
    </xdr:from>
    <xdr:to>
      <xdr:col>46</xdr:col>
      <xdr:colOff>97692</xdr:colOff>
      <xdr:row>12</xdr:row>
      <xdr:rowOff>0</xdr:rowOff>
    </xdr:to>
    <xdr:sp macro="" textlink="">
      <xdr:nvSpPr>
        <xdr:cNvPr id="16" name="TextBox 15">
          <a:extLst>
            <a:ext uri="{FF2B5EF4-FFF2-40B4-BE49-F238E27FC236}">
              <a16:creationId xmlns:a16="http://schemas.microsoft.com/office/drawing/2014/main" id="{F45D7BC5-E75E-4FD0-B74D-00FE3DCF0725}"/>
            </a:ext>
          </a:extLst>
        </xdr:cNvPr>
        <xdr:cNvSpPr txBox="1"/>
      </xdr:nvSpPr>
      <xdr:spPr>
        <a:xfrm>
          <a:off x="24895256" y="1888718"/>
          <a:ext cx="1725898" cy="2605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FF0000"/>
              </a:solidFill>
            </a:rPr>
            <a:t>Total Coins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76969</xdr:colOff>
      <xdr:row>23</xdr:row>
      <xdr:rowOff>60766</xdr:rowOff>
    </xdr:from>
    <xdr:to>
      <xdr:col>11</xdr:col>
      <xdr:colOff>157569</xdr:colOff>
      <xdr:row>44</xdr:row>
      <xdr:rowOff>0</xdr:rowOff>
    </xdr:to>
    <xdr:graphicFrame macro="">
      <xdr:nvGraphicFramePr>
        <xdr:cNvPr id="2" name="Chart 1">
          <a:extLst>
            <a:ext uri="{FF2B5EF4-FFF2-40B4-BE49-F238E27FC236}">
              <a16:creationId xmlns:a16="http://schemas.microsoft.com/office/drawing/2014/main" id="{6EE829B5-0238-406A-A113-6E2D5547F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161029</xdr:colOff>
      <xdr:row>23</xdr:row>
      <xdr:rowOff>71907</xdr:rowOff>
    </xdr:from>
    <xdr:to>
      <xdr:col>29</xdr:col>
      <xdr:colOff>269394</xdr:colOff>
      <xdr:row>44</xdr:row>
      <xdr:rowOff>115454</xdr:rowOff>
    </xdr:to>
    <xdr:graphicFrame macro="">
      <xdr:nvGraphicFramePr>
        <xdr:cNvPr id="3" name="Chart 2">
          <a:extLst>
            <a:ext uri="{FF2B5EF4-FFF2-40B4-BE49-F238E27FC236}">
              <a16:creationId xmlns:a16="http://schemas.microsoft.com/office/drawing/2014/main" id="{6A469A8E-29E2-4AFB-9258-E16655A53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57728</xdr:colOff>
      <xdr:row>3</xdr:row>
      <xdr:rowOff>66842</xdr:rowOff>
    </xdr:from>
    <xdr:to>
      <xdr:col>29</xdr:col>
      <xdr:colOff>269394</xdr:colOff>
      <xdr:row>8</xdr:row>
      <xdr:rowOff>22280</xdr:rowOff>
    </xdr:to>
    <xdr:sp macro="" textlink="">
      <xdr:nvSpPr>
        <xdr:cNvPr id="4" name="TextBox 3">
          <a:extLst>
            <a:ext uri="{FF2B5EF4-FFF2-40B4-BE49-F238E27FC236}">
              <a16:creationId xmlns:a16="http://schemas.microsoft.com/office/drawing/2014/main" id="{5A4D54B0-32FE-A6F1-4B9B-4DFC05F2FCF7}"/>
            </a:ext>
          </a:extLst>
        </xdr:cNvPr>
        <xdr:cNvSpPr txBox="1"/>
      </xdr:nvSpPr>
      <xdr:spPr>
        <a:xfrm>
          <a:off x="673486" y="644115"/>
          <a:ext cx="17452878" cy="917559"/>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lang="en-IN" sz="5000" b="1">
              <a:solidFill>
                <a:srgbClr val="FF0000"/>
              </a:solidFill>
            </a:rPr>
            <a:t>LOW-BUDGET CRYPTO INVESTMENT DASHBOARD</a:t>
          </a:r>
        </a:p>
      </xdr:txBody>
    </xdr:sp>
    <xdr:clientData/>
  </xdr:twoCellAnchor>
  <xdr:twoCellAnchor>
    <xdr:from>
      <xdr:col>1</xdr:col>
      <xdr:colOff>22281</xdr:colOff>
      <xdr:row>9</xdr:row>
      <xdr:rowOff>167105</xdr:rowOff>
    </xdr:from>
    <xdr:to>
      <xdr:col>5</xdr:col>
      <xdr:colOff>390566</xdr:colOff>
      <xdr:row>17</xdr:row>
      <xdr:rowOff>107513</xdr:rowOff>
    </xdr:to>
    <xdr:sp macro="" textlink="Pivot_tables!B3">
      <xdr:nvSpPr>
        <xdr:cNvPr id="5" name="Rectangle: Rounded Corners 4">
          <a:extLst>
            <a:ext uri="{FF2B5EF4-FFF2-40B4-BE49-F238E27FC236}">
              <a16:creationId xmlns:a16="http://schemas.microsoft.com/office/drawing/2014/main" id="{10A0523A-C202-44FE-9575-E78404959560}"/>
            </a:ext>
          </a:extLst>
        </xdr:cNvPr>
        <xdr:cNvSpPr/>
      </xdr:nvSpPr>
      <xdr:spPr>
        <a:xfrm>
          <a:off x="635000" y="1871579"/>
          <a:ext cx="2819162" cy="145549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4216A54C-4F40-405C-98DC-4813C20CBB7F}" type="TxLink">
            <a:rPr lang="en-US" sz="2000" b="0" i="0" u="none" strike="noStrike">
              <a:solidFill>
                <a:srgbClr val="000000"/>
              </a:solidFill>
              <a:latin typeface="Calibri"/>
              <a:ea typeface="Calibri"/>
              <a:cs typeface="Calibri"/>
            </a:rPr>
            <a:t>SuperWalk</a:t>
          </a:fld>
          <a:endParaRPr lang="en-US" sz="2000"/>
        </a:p>
      </xdr:txBody>
    </xdr:sp>
    <xdr:clientData/>
  </xdr:twoCellAnchor>
  <xdr:twoCellAnchor>
    <xdr:from>
      <xdr:col>1</xdr:col>
      <xdr:colOff>240270</xdr:colOff>
      <xdr:row>10</xdr:row>
      <xdr:rowOff>16933</xdr:rowOff>
    </xdr:from>
    <xdr:to>
      <xdr:col>5</xdr:col>
      <xdr:colOff>200527</xdr:colOff>
      <xdr:row>12</xdr:row>
      <xdr:rowOff>111403</xdr:rowOff>
    </xdr:to>
    <xdr:sp macro="" textlink="">
      <xdr:nvSpPr>
        <xdr:cNvPr id="6" name="TextBox 5">
          <a:extLst>
            <a:ext uri="{FF2B5EF4-FFF2-40B4-BE49-F238E27FC236}">
              <a16:creationId xmlns:a16="http://schemas.microsoft.com/office/drawing/2014/main" id="{742A03B7-63E3-482A-957D-98ABB8D966C7}"/>
            </a:ext>
          </a:extLst>
        </xdr:cNvPr>
        <xdr:cNvSpPr txBox="1"/>
      </xdr:nvSpPr>
      <xdr:spPr>
        <a:xfrm>
          <a:off x="849870" y="1879600"/>
          <a:ext cx="2398657" cy="4670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FF0000"/>
              </a:solidFill>
            </a:rPr>
            <a:t>Coin</a:t>
          </a:r>
          <a:r>
            <a:rPr lang="en-IN" sz="2000" b="1" baseline="0">
              <a:solidFill>
                <a:srgbClr val="FF0000"/>
              </a:solidFill>
            </a:rPr>
            <a:t> Name</a:t>
          </a:r>
          <a:endParaRPr lang="en-IN" sz="2000" b="1">
            <a:solidFill>
              <a:srgbClr val="FF0000"/>
            </a:solidFill>
          </a:endParaRPr>
        </a:p>
      </xdr:txBody>
    </xdr:sp>
    <xdr:clientData/>
  </xdr:twoCellAnchor>
  <xdr:twoCellAnchor>
    <xdr:from>
      <xdr:col>7</xdr:col>
      <xdr:colOff>0</xdr:colOff>
      <xdr:row>10</xdr:row>
      <xdr:rowOff>0</xdr:rowOff>
    </xdr:from>
    <xdr:to>
      <xdr:col>11</xdr:col>
      <xdr:colOff>283176</xdr:colOff>
      <xdr:row>17</xdr:row>
      <xdr:rowOff>137297</xdr:rowOff>
    </xdr:to>
    <xdr:sp macro="" textlink="Pivot_tables!E46">
      <xdr:nvSpPr>
        <xdr:cNvPr id="7" name="Rectangle: Rounded Corners 6">
          <a:extLst>
            <a:ext uri="{FF2B5EF4-FFF2-40B4-BE49-F238E27FC236}">
              <a16:creationId xmlns:a16="http://schemas.microsoft.com/office/drawing/2014/main" id="{AFDBBD08-7D63-45ED-AD22-0DCA5F270A1D}"/>
            </a:ext>
          </a:extLst>
        </xdr:cNvPr>
        <xdr:cNvSpPr/>
      </xdr:nvSpPr>
      <xdr:spPr>
        <a:xfrm>
          <a:off x="4264797" y="1802027"/>
          <a:ext cx="2720203" cy="1398716"/>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C9F09C7A-07E2-4668-82A8-5047BF678639}" type="TxLink">
            <a:rPr lang="en-US" sz="2000" b="0" i="0" u="none" strike="noStrike">
              <a:solidFill>
                <a:srgbClr val="000000"/>
              </a:solidFill>
              <a:latin typeface="Calibri"/>
              <a:ea typeface="Calibri"/>
              <a:cs typeface="Calibri"/>
            </a:rPr>
            <a:t>GRND</a:t>
          </a:fld>
          <a:endParaRPr lang="en-IN" sz="2000" b="0" i="0" u="none" strike="noStrike">
            <a:solidFill>
              <a:srgbClr val="000000"/>
            </a:solidFill>
            <a:latin typeface="Calibri"/>
            <a:ea typeface="Calibri"/>
            <a:cs typeface="Calibri"/>
          </a:endParaRPr>
        </a:p>
      </xdr:txBody>
    </xdr:sp>
    <xdr:clientData/>
  </xdr:twoCellAnchor>
  <xdr:twoCellAnchor>
    <xdr:from>
      <xdr:col>7</xdr:col>
      <xdr:colOff>163040</xdr:colOff>
      <xdr:row>10</xdr:row>
      <xdr:rowOff>33866</xdr:rowOff>
    </xdr:from>
    <xdr:to>
      <xdr:col>11</xdr:col>
      <xdr:colOff>68648</xdr:colOff>
      <xdr:row>12</xdr:row>
      <xdr:rowOff>128717</xdr:rowOff>
    </xdr:to>
    <xdr:sp macro="" textlink="">
      <xdr:nvSpPr>
        <xdr:cNvPr id="8" name="TextBox 7">
          <a:extLst>
            <a:ext uri="{FF2B5EF4-FFF2-40B4-BE49-F238E27FC236}">
              <a16:creationId xmlns:a16="http://schemas.microsoft.com/office/drawing/2014/main" id="{4AA6AA83-53E8-42AC-8970-7E3B04901648}"/>
            </a:ext>
          </a:extLst>
        </xdr:cNvPr>
        <xdr:cNvSpPr txBox="1"/>
      </xdr:nvSpPr>
      <xdr:spPr>
        <a:xfrm>
          <a:off x="4430240" y="1896533"/>
          <a:ext cx="2344008" cy="4673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FF0000"/>
              </a:solidFill>
            </a:rPr>
            <a:t>Coin</a:t>
          </a:r>
          <a:r>
            <a:rPr lang="en-IN" sz="2000" b="1" baseline="0">
              <a:solidFill>
                <a:srgbClr val="FF0000"/>
              </a:solidFill>
            </a:rPr>
            <a:t> Symbol</a:t>
          </a:r>
          <a:endParaRPr lang="en-IN" sz="2000" b="1">
            <a:solidFill>
              <a:srgbClr val="FF0000"/>
            </a:solidFill>
          </a:endParaRPr>
        </a:p>
      </xdr:txBody>
    </xdr:sp>
    <xdr:clientData/>
  </xdr:twoCellAnchor>
  <xdr:twoCellAnchor editAs="oneCell">
    <xdr:from>
      <xdr:col>12</xdr:col>
      <xdr:colOff>442576</xdr:colOff>
      <xdr:row>23</xdr:row>
      <xdr:rowOff>134698</xdr:rowOff>
    </xdr:from>
    <xdr:to>
      <xdr:col>18</xdr:col>
      <xdr:colOff>38485</xdr:colOff>
      <xdr:row>34</xdr:row>
      <xdr:rowOff>19244</xdr:rowOff>
    </xdr:to>
    <mc:AlternateContent xmlns:mc="http://schemas.openxmlformats.org/markup-compatibility/2006">
      <mc:Choice xmlns:a14="http://schemas.microsoft.com/office/drawing/2010/main" Requires="a14">
        <xdr:graphicFrame macro="">
          <xdr:nvGraphicFramePr>
            <xdr:cNvPr id="9" name="Price Range 1">
              <a:extLst>
                <a:ext uri="{FF2B5EF4-FFF2-40B4-BE49-F238E27FC236}">
                  <a16:creationId xmlns:a16="http://schemas.microsoft.com/office/drawing/2014/main" id="{D8FCC7AC-DD24-4DD5-983C-6CCBFFACA587}"/>
                </a:ext>
              </a:extLst>
            </xdr:cNvPr>
            <xdr:cNvGraphicFramePr/>
          </xdr:nvGraphicFramePr>
          <xdr:xfrm>
            <a:off x="0" y="0"/>
            <a:ext cx="0" cy="0"/>
          </xdr:xfrm>
          <a:graphic>
            <a:graphicData uri="http://schemas.microsoft.com/office/drawing/2010/slicer">
              <sle:slicer xmlns:sle="http://schemas.microsoft.com/office/drawing/2010/slicer" name="Price Range 1"/>
            </a:graphicData>
          </a:graphic>
        </xdr:graphicFrame>
      </mc:Choice>
      <mc:Fallback>
        <xdr:sp macro="" textlink="">
          <xdr:nvSpPr>
            <xdr:cNvPr id="0" name=""/>
            <xdr:cNvSpPr>
              <a:spLocks noTextEdit="1"/>
            </xdr:cNvSpPr>
          </xdr:nvSpPr>
          <xdr:spPr>
            <a:xfrm>
              <a:off x="7690869" y="4409332"/>
              <a:ext cx="3220055" cy="1928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10</xdr:row>
      <xdr:rowOff>0</xdr:rowOff>
    </xdr:from>
    <xdr:to>
      <xdr:col>17</xdr:col>
      <xdr:colOff>283176</xdr:colOff>
      <xdr:row>17</xdr:row>
      <xdr:rowOff>137297</xdr:rowOff>
    </xdr:to>
    <xdr:sp macro="" textlink="Pivot_tables!$E$48">
      <xdr:nvSpPr>
        <xdr:cNvPr id="10" name="Rectangle: Rounded Corners 9">
          <a:extLst>
            <a:ext uri="{FF2B5EF4-FFF2-40B4-BE49-F238E27FC236}">
              <a16:creationId xmlns:a16="http://schemas.microsoft.com/office/drawing/2014/main" id="{ED87D937-8EF7-444A-8AEA-D7423A40FA4C}"/>
            </a:ext>
          </a:extLst>
        </xdr:cNvPr>
        <xdr:cNvSpPr/>
      </xdr:nvSpPr>
      <xdr:spPr>
        <a:xfrm>
          <a:off x="7997031" y="1785938"/>
          <a:ext cx="2743801" cy="1387453"/>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96C84F54-33C9-408C-AAF6-688071E0928F}" type="TxLink">
            <a:rPr lang="en-US" sz="2000" b="0" i="0" u="none" strike="noStrike">
              <a:solidFill>
                <a:srgbClr val="000000"/>
              </a:solidFill>
              <a:latin typeface="Calibri"/>
              <a:ea typeface="Calibri"/>
              <a:cs typeface="Calibri"/>
            </a:rPr>
            <a:t>0.0336</a:t>
          </a:fld>
          <a:endParaRPr lang="en-IN" sz="2000" b="0" i="0" u="none" strike="noStrike">
            <a:solidFill>
              <a:srgbClr val="000000"/>
            </a:solidFill>
            <a:latin typeface="Calibri"/>
            <a:ea typeface="Calibri"/>
            <a:cs typeface="Calibri"/>
          </a:endParaRPr>
        </a:p>
      </xdr:txBody>
    </xdr:sp>
    <xdr:clientData/>
  </xdr:twoCellAnchor>
  <xdr:twoCellAnchor>
    <xdr:from>
      <xdr:col>13</xdr:col>
      <xdr:colOff>287867</xdr:colOff>
      <xdr:row>10</xdr:row>
      <xdr:rowOff>42333</xdr:rowOff>
    </xdr:from>
    <xdr:to>
      <xdr:col>16</xdr:col>
      <xdr:colOff>601133</xdr:colOff>
      <xdr:row>12</xdr:row>
      <xdr:rowOff>110068</xdr:rowOff>
    </xdr:to>
    <xdr:sp macro="" textlink="">
      <xdr:nvSpPr>
        <xdr:cNvPr id="11" name="TextBox 10">
          <a:extLst>
            <a:ext uri="{FF2B5EF4-FFF2-40B4-BE49-F238E27FC236}">
              <a16:creationId xmlns:a16="http://schemas.microsoft.com/office/drawing/2014/main" id="{AEDAC55A-DD3C-4152-8749-271E999C857D}"/>
            </a:ext>
          </a:extLst>
        </xdr:cNvPr>
        <xdr:cNvSpPr txBox="1"/>
      </xdr:nvSpPr>
      <xdr:spPr>
        <a:xfrm>
          <a:off x="8212667" y="1905000"/>
          <a:ext cx="2142066" cy="4402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FF0000"/>
              </a:solidFill>
            </a:rPr>
            <a:t>Price ($)</a:t>
          </a:r>
        </a:p>
      </xdr:txBody>
    </xdr:sp>
    <xdr:clientData/>
  </xdr:twoCellAnchor>
  <xdr:twoCellAnchor>
    <xdr:from>
      <xdr:col>19</xdr:col>
      <xdr:colOff>0</xdr:colOff>
      <xdr:row>10</xdr:row>
      <xdr:rowOff>0</xdr:rowOff>
    </xdr:from>
    <xdr:to>
      <xdr:col>23</xdr:col>
      <xdr:colOff>283176</xdr:colOff>
      <xdr:row>17</xdr:row>
      <xdr:rowOff>137297</xdr:rowOff>
    </xdr:to>
    <xdr:sp macro="" textlink="Pivot_tables!$E$50">
      <xdr:nvSpPr>
        <xdr:cNvPr id="12" name="Rectangle: Rounded Corners 11">
          <a:extLst>
            <a:ext uri="{FF2B5EF4-FFF2-40B4-BE49-F238E27FC236}">
              <a16:creationId xmlns:a16="http://schemas.microsoft.com/office/drawing/2014/main" id="{993404D6-FC81-46FD-9A98-25A575FA6992}"/>
            </a:ext>
          </a:extLst>
        </xdr:cNvPr>
        <xdr:cNvSpPr/>
      </xdr:nvSpPr>
      <xdr:spPr>
        <a:xfrm>
          <a:off x="11582400" y="1862667"/>
          <a:ext cx="2721576" cy="1441163"/>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23DD53A4-FCB4-42FA-91BD-DDD3902EAEEB}" type="TxLink">
            <a:rPr lang="en-US" sz="2000" b="0" i="0" u="none" strike="noStrike">
              <a:solidFill>
                <a:srgbClr val="000000"/>
              </a:solidFill>
              <a:latin typeface="Calibri"/>
              <a:ea typeface="Calibri"/>
              <a:cs typeface="Calibri"/>
            </a:rPr>
            <a:t>16.94</a:t>
          </a:fld>
          <a:endParaRPr lang="en-IN" sz="2000" b="0" i="0" u="none" strike="noStrike">
            <a:solidFill>
              <a:srgbClr val="000000"/>
            </a:solidFill>
            <a:latin typeface="Calibri"/>
            <a:ea typeface="Calibri"/>
            <a:cs typeface="Calibri"/>
          </a:endParaRPr>
        </a:p>
      </xdr:txBody>
    </xdr:sp>
    <xdr:clientData/>
  </xdr:twoCellAnchor>
  <xdr:twoCellAnchor>
    <xdr:from>
      <xdr:col>19</xdr:col>
      <xdr:colOff>112059</xdr:colOff>
      <xdr:row>10</xdr:row>
      <xdr:rowOff>37354</xdr:rowOff>
    </xdr:from>
    <xdr:to>
      <xdr:col>23</xdr:col>
      <xdr:colOff>205441</xdr:colOff>
      <xdr:row>12</xdr:row>
      <xdr:rowOff>130737</xdr:rowOff>
    </xdr:to>
    <xdr:sp macro="" textlink="">
      <xdr:nvSpPr>
        <xdr:cNvPr id="13" name="TextBox 12">
          <a:extLst>
            <a:ext uri="{FF2B5EF4-FFF2-40B4-BE49-F238E27FC236}">
              <a16:creationId xmlns:a16="http://schemas.microsoft.com/office/drawing/2014/main" id="{09B89A09-7634-477C-A4F5-309A77193838}"/>
            </a:ext>
          </a:extLst>
        </xdr:cNvPr>
        <xdr:cNvSpPr txBox="1"/>
      </xdr:nvSpPr>
      <xdr:spPr>
        <a:xfrm>
          <a:off x="11822206" y="1905001"/>
          <a:ext cx="2558676" cy="4669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FF0000"/>
              </a:solidFill>
            </a:rPr>
            <a:t>Average</a:t>
          </a:r>
          <a:r>
            <a:rPr lang="en-IN" sz="2000" b="1" baseline="0">
              <a:solidFill>
                <a:srgbClr val="FF0000"/>
              </a:solidFill>
            </a:rPr>
            <a:t> Downfall (%)</a:t>
          </a:r>
          <a:endParaRPr lang="en-IN" sz="2000" b="1">
            <a:solidFill>
              <a:srgbClr val="FF0000"/>
            </a:solidFill>
          </a:endParaRPr>
        </a:p>
      </xdr:txBody>
    </xdr:sp>
    <xdr:clientData/>
  </xdr:twoCellAnchor>
  <xdr:twoCellAnchor>
    <xdr:from>
      <xdr:col>25</xdr:col>
      <xdr:colOff>0</xdr:colOff>
      <xdr:row>10</xdr:row>
      <xdr:rowOff>0</xdr:rowOff>
    </xdr:from>
    <xdr:to>
      <xdr:col>29</xdr:col>
      <xdr:colOff>283176</xdr:colOff>
      <xdr:row>17</xdr:row>
      <xdr:rowOff>137297</xdr:rowOff>
    </xdr:to>
    <xdr:sp macro="" textlink="Pivot_tables!$E$52">
      <xdr:nvSpPr>
        <xdr:cNvPr id="14" name="Rectangle: Rounded Corners 13">
          <a:extLst>
            <a:ext uri="{FF2B5EF4-FFF2-40B4-BE49-F238E27FC236}">
              <a16:creationId xmlns:a16="http://schemas.microsoft.com/office/drawing/2014/main" id="{73D61F46-D2F3-4776-998A-272D3FF65C34}"/>
            </a:ext>
          </a:extLst>
        </xdr:cNvPr>
        <xdr:cNvSpPr/>
      </xdr:nvSpPr>
      <xdr:spPr>
        <a:xfrm>
          <a:off x="15240000" y="1862667"/>
          <a:ext cx="2721576" cy="1441163"/>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FA350752-3EA8-4B2C-8F5B-ABB48169A6DD}" type="TxLink">
            <a:rPr lang="en-US" sz="2000" b="0" i="0" u="none" strike="noStrike">
              <a:solidFill>
                <a:srgbClr val="000000"/>
              </a:solidFill>
              <a:latin typeface="Calibri"/>
              <a:ea typeface="Calibri"/>
              <a:cs typeface="Calibri"/>
            </a:rPr>
            <a:t>263</a:t>
          </a:fld>
          <a:endParaRPr lang="en-IN" sz="2000" b="0" i="0" u="none" strike="noStrike">
            <a:solidFill>
              <a:srgbClr val="000000"/>
            </a:solidFill>
            <a:latin typeface="Calibri"/>
            <a:ea typeface="Calibri"/>
            <a:cs typeface="Calibri"/>
          </a:endParaRPr>
        </a:p>
      </xdr:txBody>
    </xdr:sp>
    <xdr:clientData/>
  </xdr:twoCellAnchor>
  <xdr:twoCellAnchor>
    <xdr:from>
      <xdr:col>25</xdr:col>
      <xdr:colOff>203200</xdr:colOff>
      <xdr:row>10</xdr:row>
      <xdr:rowOff>25400</xdr:rowOff>
    </xdr:from>
    <xdr:to>
      <xdr:col>29</xdr:col>
      <xdr:colOff>84667</xdr:colOff>
      <xdr:row>12</xdr:row>
      <xdr:rowOff>76202</xdr:rowOff>
    </xdr:to>
    <xdr:sp macro="" textlink="">
      <xdr:nvSpPr>
        <xdr:cNvPr id="15" name="TextBox 14">
          <a:extLst>
            <a:ext uri="{FF2B5EF4-FFF2-40B4-BE49-F238E27FC236}">
              <a16:creationId xmlns:a16="http://schemas.microsoft.com/office/drawing/2014/main" id="{ED78D4D0-F494-4F20-9DD3-22594DDD1B6D}"/>
            </a:ext>
          </a:extLst>
        </xdr:cNvPr>
        <xdr:cNvSpPr txBox="1"/>
      </xdr:nvSpPr>
      <xdr:spPr>
        <a:xfrm>
          <a:off x="15443200" y="1888067"/>
          <a:ext cx="2319867" cy="423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FF0000"/>
              </a:solidFill>
            </a:rPr>
            <a:t>Total</a:t>
          </a:r>
          <a:r>
            <a:rPr lang="en-IN" sz="2000" b="1" baseline="0">
              <a:solidFill>
                <a:srgbClr val="FF0000"/>
              </a:solidFill>
            </a:rPr>
            <a:t> Coins</a:t>
          </a:r>
          <a:endParaRPr lang="en-IN" sz="2000" b="1">
            <a:solidFill>
              <a:srgbClr val="FF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r" refreshedDate="46142.338193750002" createdVersion="8" refreshedVersion="8" minRefreshableVersion="3" recordCount="263" xr:uid="{21A60465-DDEC-4116-91ED-F17E3D93C954}">
  <cacheSource type="worksheet">
    <worksheetSource name="raw_data__2"/>
  </cacheSource>
  <cacheFields count="13">
    <cacheField name="Coin Name" numFmtId="0">
      <sharedItems count="263">
        <s v="Bitcoin"/>
        <s v="Ethereum"/>
        <s v="Tether"/>
        <s v="XRP"/>
        <s v="BNB"/>
        <s v="USDC"/>
        <s v="Solana"/>
        <s v="TRON"/>
        <s v="Dogecoin"/>
        <s v="Hyperliquid"/>
        <s v="UNUS SED LEO"/>
        <s v="Bitcoin Cash"/>
        <s v="Cardano"/>
        <s v="Monero"/>
        <s v="Injective"/>
        <s v="Curve DAO Token"/>
        <s v="ether.fi"/>
        <s v="Gnosis"/>
        <s v="Immutable"/>
        <s v="Zebec Network"/>
        <s v="Decred"/>
        <s v="Monad"/>
        <s v="Bitcoin SV"/>
        <s v="Celestia"/>
        <s v="Lido DAO"/>
        <s v="BitTorrent [New]"/>
        <s v="FLOKI"/>
        <s v="AINFT"/>
        <s v="Conflux"/>
        <s v="Rain"/>
        <s v="HTX"/>
        <s v="Ondo US Dollar Yield"/>
        <s v="c8ntinuum"/>
        <s v="Jupiter Perps LP"/>
        <s v="Beldex"/>
        <s v="GHO"/>
        <s v="Solstice USX"/>
        <s v="Ape and Pepe"/>
        <s v="Legacy Frax Dollar"/>
        <s v="SwissBorg"/>
        <s v="Brett (Based)"/>
        <s v="Ronin"/>
        <s v="Nervos Network"/>
        <s v="Sahara AI"/>
        <s v="Comedian"/>
        <s v="Wormhole"/>
        <s v="MYX Finance"/>
        <s v="Alphabet tokenized stock (xStock)"/>
        <s v="Ontology"/>
        <s v="Astar"/>
        <s v="DigiByte"/>
        <s v="Alchemy Pay"/>
        <s v="Axelar"/>
        <s v="Gensyn"/>
        <s v="InitVerse"/>
        <s v="ssv.network"/>
        <s v="Avantis"/>
        <s v="TAC Protocol"/>
        <s v="Alaya Governance Token"/>
        <s v="Casper"/>
        <s v="Terra"/>
        <s v="Frax (prev. FXS)"/>
        <s v="aPriori"/>
        <s v="Ant.FUN"/>
        <s v="Somnia"/>
        <s v="Fractal Bitcoin"/>
        <s v="Vana"/>
        <s v="Bitway"/>
        <s v="EscoinToken"/>
        <s v="GoPlus Security"/>
        <s v="GMT"/>
        <s v="EthereumPoW"/>
        <s v="Liquity BOLD"/>
        <s v="Anchored Coins AEUR"/>
        <s v="Propy"/>
        <s v="Secret"/>
        <s v="Open Campus"/>
        <s v="MobileCoin"/>
        <s v="Snek"/>
        <s v="peaq"/>
        <s v="Illuvium"/>
        <s v="Solayer"/>
        <s v="BNB Attestation Service"/>
        <s v="TerraClassicUSD"/>
        <s v="Zentry"/>
        <s v="Flux"/>
        <s v="Metal DAO"/>
        <s v="Quai Network"/>
        <s v="LCX"/>
        <s v="Phala Network"/>
        <s v="Animecoin"/>
        <s v="SuperWalk"/>
        <s v="Cetus Protocol"/>
        <s v="Apple tokenized stock (xStock)"/>
        <s v="TBLL tokenized ETF (xStock)"/>
        <s v="Doodles"/>
        <s v="Mango Network"/>
        <s v="pippin"/>
        <s v="deBridge"/>
        <s v="Taiko"/>
        <s v="INFINIT"/>
        <s v="BugsCoin"/>
        <s v="StakeStone"/>
        <s v="Coin98"/>
        <s v="Comtech Gold"/>
        <s v="Marlin"/>
        <s v="Faith Tribe"/>
        <s v="Wilder World"/>
        <s v="Cisco tokenized stock (xStock)"/>
        <s v="Global Commercial Business"/>
        <s v="Orderly"/>
        <s v="EGL1"/>
        <s v="USD CoinVertible"/>
        <s v="GRIFFAIN"/>
        <s v="Origin Protocol"/>
        <s v="Degen"/>
        <s v="Layer3"/>
        <s v="ARPA"/>
        <s v="Avail"/>
        <s v="Wayfinder"/>
        <s v="Solend"/>
        <s v="Braintrust"/>
        <s v="Hermez Network"/>
        <s v="Banana Gun"/>
        <s v="Firo"/>
        <s v="Vine Coin"/>
        <s v="Ponke"/>
        <s v="KONET"/>
        <s v="Superform"/>
        <s v="Polyhedra Network"/>
        <s v="BENQI"/>
        <s v="Worldwide USD"/>
        <s v="Resolv"/>
        <s v="Ninja Squad Token"/>
        <s v="CONX"/>
        <s v="Just a chill guy"/>
        <s v="Paris Saint-Germain Fan Token"/>
        <s v="Bless"/>
        <s v="Synapse"/>
        <s v="Helium Mobile"/>
        <s v="PlatON"/>
        <s v="Heroes of Mavia"/>
        <s v="Portal"/>
        <s v="Bitcoin Gold"/>
        <s v="IAGON"/>
        <s v="PepeCoin"/>
        <s v="Realio Network"/>
        <s v="DAR Open Network"/>
        <s v="NFPrompt"/>
        <s v="ELYSIA"/>
        <s v="QuickSwap [Old]"/>
        <s v="Peercoin"/>
        <s v="TEXITcoin"/>
        <s v="Nomina"/>
        <s v="AKEDO"/>
        <s v="MAGIC•INTERNET•MONEY (Bitcoin)"/>
        <s v="WOM Protocol"/>
        <s v="Neon EVM"/>
        <s v="Mansory"/>
        <s v="Gleec Coin"/>
        <s v="Asteroid (Asteroid OG)"/>
        <s v="Viction"/>
        <s v="LOAN Protocol"/>
        <s v="MOBOX"/>
        <s v="GameStop (gamestop-coin.vip)"/>
        <s v="PIVX"/>
        <s v="Pkoin"/>
        <s v="Everscale"/>
        <s v="Diamond"/>
        <s v="Wexo"/>
        <s v="Croatian Football Federation Token"/>
        <s v="PumpBTC (Governance token)"/>
        <s v="MileVerse"/>
        <s v="Boson Protocol"/>
        <s v="Openverse Network"/>
        <s v="GamerCoin"/>
        <s v="MCOIN"/>
        <s v="Swell Network"/>
        <s v="Covalent X Token"/>
        <s v="Stonks"/>
        <s v="Unibright"/>
        <s v="FEED EVERY GORILLA"/>
        <s v="GAIB"/>
        <s v="Observer"/>
        <s v="Edel"/>
        <s v="Quantoz EURQ"/>
        <s v="Inflation Hedging Coin"/>
        <s v="BRN Metaverse"/>
        <s v="Cointel"/>
        <s v="Lingo"/>
        <s v="Odos"/>
        <s v="Ren"/>
        <s v="WAR"/>
        <s v="Real"/>
        <s v="Gearbox Protocol"/>
        <s v="zkVerify"/>
        <s v="Sharp"/>
        <s v="Dexsport"/>
        <s v="Hachiko"/>
        <s v="Stake DAO"/>
        <s v="IBStoken"/>
        <s v="Kendu"/>
        <s v="GOLDAO"/>
        <s v="Rarible"/>
        <s v="American Coin"/>
        <s v="Myro"/>
        <s v="Vai"/>
        <s v="MANEKI"/>
        <s v="Vertical AI"/>
        <s v="Dora Factory"/>
        <s v="NUMINE"/>
        <s v="QuantumCoin"/>
        <s v="Zypto"/>
        <s v="Quq"/>
        <s v="fanC"/>
        <s v="Propbase"/>
        <s v="Russell"/>
        <s v="CEEK VR"/>
        <s v="Housecoin"/>
        <s v="Primecoin"/>
        <s v="VAIOT"/>
        <s v="Mochimo"/>
        <s v="TaleX"/>
        <s v="Mayflower AI"/>
        <s v="QuStream"/>
        <s v="iMe Lab"/>
        <s v="CeluvPlay"/>
        <s v="HI"/>
        <s v="Nibiru"/>
        <s v="Tottenham Hotspur Fan Token"/>
        <s v="OpenChat"/>
        <s v="Crypto Asset Governance Alliance"/>
        <s v="Areum"/>
        <s v="Aleph Zero"/>
        <s v="CatCoin"/>
        <s v="NodeOps"/>
        <s v="cheqd"/>
        <s v="Mistery On Cro"/>
        <s v="Chrono.tech"/>
        <s v="toyow"/>
        <s v="Swash"/>
        <s v="Dingocoin"/>
        <s v="Owlto Finance"/>
        <s v="MSQUARE GLOBAL"/>
        <s v="XRP Healthcare"/>
        <s v="Pepe Unchained (New)"/>
        <s v="Shrapnel"/>
        <s v="dForce"/>
        <s v="Ranger"/>
        <s v="Orbit Chain"/>
        <s v="Energi"/>
        <s v="JINDOGE"/>
        <s v="StarSlax"/>
        <s v="Port3 Network"/>
        <s v="Artyfact"/>
        <s v="Clore.ai"/>
        <s v="BABB"/>
        <s v="Momo (momocoin.info)"/>
        <s v="Dtec"/>
        <s v="Storm Trade"/>
        <s v="LinqAI"/>
        <s v="Punkvism"/>
        <s v="Pepe 2.0 (pepe20.vip)"/>
      </sharedItems>
    </cacheField>
    <cacheField name="Symbol" numFmtId="0">
      <sharedItems count="260">
        <s v="BTC"/>
        <s v="ETH"/>
        <s v="USDT"/>
        <s v="XRP"/>
        <s v="BNB"/>
        <s v="USDC"/>
        <s v="SOL"/>
        <s v="TRX"/>
        <s v="DOGE"/>
        <s v="HYPE"/>
        <s v="LEO"/>
        <s v="BCH"/>
        <s v="ADA"/>
        <s v="XMR"/>
        <s v="INJ"/>
        <s v="CRV"/>
        <s v="ETHFI"/>
        <s v="GNO"/>
        <s v="IMX"/>
        <s v="ZBCN"/>
        <s v="DCR"/>
        <s v="MON"/>
        <s v="BSV"/>
        <s v="TIA"/>
        <s v="LDO"/>
        <s v="BTT"/>
        <s v="FLOKI"/>
        <s v="NFT"/>
        <s v="CFX"/>
        <s v="RAIN"/>
        <s v="HTX"/>
        <s v="USDY"/>
        <s v="CTM"/>
        <s v="JLP"/>
        <s v="BDX"/>
        <s v="GHO"/>
        <s v="USX"/>
        <s v="APEPE"/>
        <s v="FRAX"/>
        <s v="BORG"/>
        <s v="BRETT"/>
        <s v="RON"/>
        <s v="CKB"/>
        <s v="SAHARA"/>
        <s v="BAN"/>
        <s v="W"/>
        <s v="MYX"/>
        <s v="GOOGLX"/>
        <s v="ONT"/>
        <s v="ASTR"/>
        <s v="DGB"/>
        <s v="ACH"/>
        <s v="AXL"/>
        <s v="AI"/>
        <s v="INI"/>
        <s v="SSV"/>
        <s v="AVNT"/>
        <s v="TAC"/>
        <s v="AGT"/>
        <s v="CSPR"/>
        <s v="LUNA"/>
        <s v="APR"/>
        <s v="ANB"/>
        <s v="SOMI"/>
        <s v="FB"/>
        <s v="VANA"/>
        <s v="BTW"/>
        <s v="ELG"/>
        <s v="GPS"/>
        <s v="GMT"/>
        <s v="ETHW"/>
        <s v="BOLD"/>
        <s v="AEUR"/>
        <s v="PRO"/>
        <s v="SCRT"/>
        <s v="EDU"/>
        <s v="MOB"/>
        <s v="SNEK"/>
        <s v="PEAQ"/>
        <s v="ILV"/>
        <s v="LAYER"/>
        <s v="BAS"/>
        <s v="USTC"/>
        <s v="ZENT"/>
        <s v="FLUX"/>
        <s v="MTL"/>
        <s v="QUAI"/>
        <s v="LCX"/>
        <s v="PHA"/>
        <s v="ANIME"/>
        <s v="GRND"/>
        <s v="CETUS"/>
        <s v="AAPLX"/>
        <s v="TBLLX"/>
        <s v="DOOD"/>
        <s v="MGO"/>
        <s v="PIPPIN"/>
        <s v="DBR"/>
        <s v="TAIKO"/>
        <s v="IN"/>
        <s v="BGSC"/>
        <s v="STO"/>
        <s v="C98"/>
        <s v="CGO"/>
        <s v="POND"/>
        <s v="FTRB"/>
        <s v="WILD"/>
        <s v="CSCOX"/>
        <s v="GCB"/>
        <s v="ORDER"/>
        <s v="EGL1"/>
        <s v="USDCV"/>
        <s v="GRIFFAIN"/>
        <s v="OGN"/>
        <s v="DEGEN"/>
        <s v="L3"/>
        <s v="ARPA"/>
        <s v="AVAIL"/>
        <s v="PROMPT"/>
        <s v="SLND"/>
        <s v="BTRST"/>
        <s v="HEZ"/>
        <s v="BANANA"/>
        <s v="FIRO"/>
        <s v="VINE"/>
        <s v="PONKE"/>
        <s v="KONET"/>
        <s v="UP"/>
        <s v="ZKJ"/>
        <s v="QI"/>
        <s v="WUSD"/>
        <s v="RESOLV"/>
        <s v="NST"/>
        <s v="XPLA"/>
        <s v="CHILLGUY"/>
        <s v="PSG"/>
        <s v="BLESS"/>
        <s v="SYN"/>
        <s v="MOBILE"/>
        <s v="LAT"/>
        <s v="MAVIA"/>
        <s v="PORTAL"/>
        <s v="BTG"/>
        <s v="IAG"/>
        <s v="PEPECOIN"/>
        <s v="RIO"/>
        <s v="D"/>
        <s v="NFP"/>
        <s v="EL"/>
        <s v="QUICK"/>
        <s v="PPC"/>
        <s v="TXC"/>
        <s v="NOM"/>
        <s v="AKE"/>
        <s v="MIM"/>
        <s v="WOM"/>
        <s v="NEON"/>
        <s v="MNSRY"/>
        <s v="GLEEC"/>
        <s v="ASTEROID"/>
        <s v="VIC"/>
        <s v="LOAN"/>
        <s v="MBOX"/>
        <s v="GME"/>
        <s v="PIVX"/>
        <s v="PKOIN"/>
        <s v="EVER"/>
        <s v="DMD"/>
        <s v="WEXO"/>
        <s v="VATRENI"/>
        <s v="PUMP"/>
        <s v="MVC"/>
        <s v="BOSON"/>
        <s v="GHX"/>
        <s v="MCOIN"/>
        <s v="SWELL"/>
        <s v="CXT"/>
        <s v="STNK"/>
        <s v="UBT"/>
        <s v="FEG"/>
        <s v="GAIB"/>
        <s v="OBSR"/>
        <s v="EDEL"/>
        <s v="EURQ"/>
        <s v="IHC"/>
        <s v="BRN"/>
        <s v="COLS"/>
        <s v="LINGO"/>
        <s v="ODOS"/>
        <s v="REN"/>
        <s v="WAR"/>
        <s v="REAL"/>
        <s v="GEAR"/>
        <s v="VFY"/>
        <s v="SHARP"/>
        <s v="DESU"/>
        <s v="$HACHI"/>
        <s v="SDT"/>
        <s v="IBS"/>
        <s v="KENDU"/>
        <s v="GOLDAO"/>
        <s v="RARI"/>
        <s v="USA"/>
        <s v="MYRO"/>
        <s v="VAI"/>
        <s v="MANEKI"/>
        <s v="VERTAI"/>
        <s v="DORA"/>
        <s v="NUMI"/>
        <s v="Q"/>
        <s v="ZYPTO"/>
        <s v="QUQ"/>
        <s v="FANC"/>
        <s v="PROPS"/>
        <s v="RUSSELL"/>
        <s v="CEEK"/>
        <s v="HOUSE"/>
        <s v="XPM"/>
        <s v="MCM"/>
        <s v="X"/>
        <s v="MAY"/>
        <s v="QST"/>
        <s v="LIME"/>
        <s v="CELB"/>
        <s v="HI"/>
        <s v="NIBI"/>
        <s v="SPURS"/>
        <s v="CHAT"/>
        <s v="CAGA"/>
        <s v="AREA"/>
        <s v="AZERO"/>
        <s v="CAT"/>
        <s v="NODE"/>
        <s v="CHEQ"/>
        <s v="MERY"/>
        <s v="TIME"/>
        <s v="TTN"/>
        <s v="SWASH"/>
        <s v="DINGO"/>
        <s v="OWL"/>
        <s v="MSQ"/>
        <s v="XRPH"/>
        <s v="PEPU"/>
        <s v="SHRAP"/>
        <s v="DF"/>
        <s v="RNGR"/>
        <s v="ORC"/>
        <s v="NRG"/>
        <s v="JINDO"/>
        <s v="SSLX"/>
        <s v="PORT3"/>
        <s v="ARTY"/>
        <s v="CLORE"/>
        <s v="BAX"/>
        <s v="MOMO"/>
        <s v="DTEC"/>
        <s v="STORM"/>
        <s v="LNQ"/>
        <s v="PVT"/>
        <s v="PEPE2.0"/>
      </sharedItems>
    </cacheField>
    <cacheField name="Price (USD)" numFmtId="0">
      <sharedItems containsSemiMixedTypes="0" containsString="0" containsNumber="1" minValue="0" maxValue="76339.8"/>
    </cacheField>
    <cacheField name="1h Change (%)" numFmtId="0">
      <sharedItems containsSemiMixedTypes="0" containsString="0" containsNumber="1" minValue="0" maxValue="0.2351"/>
    </cacheField>
    <cacheField name="24h Change (%)" numFmtId="0">
      <sharedItems containsSemiMixedTypes="0" containsString="0" containsNumber="1" minValue="0" maxValue="0.9597"/>
    </cacheField>
    <cacheField name="7d Change (%)" numFmtId="0">
      <sharedItems containsSemiMixedTypes="0" containsString="0" containsNumber="1" minValue="0" maxValue="3.0634999999999999"/>
    </cacheField>
    <cacheField name="Market Cap" numFmtId="0">
      <sharedItems containsSemiMixedTypes="0" containsString="0" containsNumber="1" containsInteger="1" minValue="1012494" maxValue="1528639234251"/>
    </cacheField>
    <cacheField name="Volume (24h) USD" numFmtId="0">
      <sharedItems containsSemiMixedTypes="0" containsString="0" containsNumber="1" minValue="0" maxValue="127735099684"/>
    </cacheField>
    <cacheField name="Circulating Supply" numFmtId="0">
      <sharedItems/>
    </cacheField>
    <cacheField name="Average Downfall %" numFmtId="0">
      <sharedItems containsSemiMixedTypes="0" containsString="0" containsNumber="1" minValue="1.3333333333333331E-2" maxValue="134.6166666666667" count="243">
        <n v="1.03"/>
        <n v="1.6633333333333331"/>
        <n v="1.3333333333333331E-2"/>
        <n v="1.1200000000000001"/>
        <n v="1.253333333333333"/>
        <n v="1.0966666666666669"/>
        <n v="0.83000000000000007"/>
        <n v="6.4266666666666667"/>
        <n v="0.89"/>
        <n v="0.30333333333333329"/>
        <n v="1.18"/>
        <n v="0.26"/>
        <n v="1.216666666666667"/>
        <n v="2.6766666666666672"/>
        <n v="1.05"/>
        <n v="4.51"/>
        <n v="1.186666666666667"/>
        <n v="2.6133333333333328"/>
        <n v="4.5766666666666671"/>
        <n v="2.813333333333333"/>
        <n v="9.0566666666666666"/>
        <n v="1.083333333333333"/>
        <n v="2.97"/>
        <n v="2.083333333333333"/>
        <n v="0.42333333333333328"/>
        <n v="1.17"/>
        <n v="2.7866666666666671"/>
        <n v="0.66"/>
        <n v="2.8833333333333329"/>
        <n v="6.6666666666666666E-2"/>
        <n v="5.3333333333333323E-2"/>
        <n v="1.64"/>
        <n v="0.6166666666666667"/>
        <n v="0.15666666666666659"/>
        <n v="2.6666666666666668E-2"/>
        <n v="1.666666666666667E-2"/>
        <n v="1.8766666666666669"/>
        <n v="0.04"/>
        <n v="0.26333333333333342"/>
        <n v="3.543333333333333"/>
        <n v="1.61"/>
        <n v="0.8933333333333332"/>
        <n v="1.97"/>
        <n v="6.03"/>
        <n v="5.2166666666666668"/>
        <n v="6.043333333333333"/>
        <n v="3.083333333333333"/>
        <n v="1.2966666666666671"/>
        <n v="3.5366666666666671"/>
        <n v="7.5466666666666669"/>
        <n v="2.79"/>
        <n v="33.89"/>
        <n v="1.673333333333334"/>
        <n v="1.9133333333333331"/>
        <n v="2.626666666666666"/>
        <n v="48.486666666666672"/>
        <n v="15.04666666666667"/>
        <n v="1.1633333333333331"/>
        <n v="3.8966666666666669"/>
        <n v="1.6"/>
        <n v="0.71666666666666667"/>
        <n v="1.27"/>
        <n v="2.95"/>
        <n v="6.98"/>
        <n v="2.0099999999999998"/>
        <n v="10.053333333333329"/>
        <n v="1.78"/>
        <n v="6.2866666666666662"/>
        <n v="2.09"/>
        <n v="3.48"/>
        <n v="1.196666666666667"/>
        <n v="3.45"/>
        <n v="1.566666666666666"/>
        <n v="1.33"/>
        <n v="5.0933333333333328"/>
        <n v="2.3966666666666669"/>
        <n v="1.4033333333333331"/>
        <n v="1.436666666666667"/>
        <n v="3.11"/>
        <n v="5.2600000000000007"/>
        <n v="0.8666666666666667"/>
        <n v="0.68333333333333346"/>
        <n v="0.73"/>
        <n v="2.0499999999999998"/>
        <n v="7.69"/>
        <n v="0.66333333333333333"/>
        <n v="0.45"/>
        <n v="16.940000000000001"/>
        <n v="3.3966666666666669"/>
        <n v="0.3133333333333333"/>
        <n v="0.5"/>
        <n v="3.2999999999999989"/>
        <n v="3.0766666666666671"/>
        <n v="3.68"/>
        <n v="0.56666666666666665"/>
        <n v="1.2033333333333329"/>
        <n v="33.483333333333327"/>
        <n v="4.76"/>
        <n v="1.533333333333333"/>
        <n v="1.54"/>
        <n v="2.8966666666666669"/>
        <n v="5.0333333333333332"/>
        <n v="1.226666666666667"/>
        <n v="0.06"/>
        <n v="1"/>
        <n v="3.02"/>
        <n v="0.02"/>
        <n v="7.54"/>
        <n v="0.46"/>
        <n v="19.559999999999999"/>
        <n v="1.696666666666667"/>
        <n v="0.76666666666666661"/>
        <n v="2.1733333333333329"/>
        <n v="2.4933333333333332"/>
        <n v="0.34"/>
        <n v="1.6533333333333331"/>
        <n v="2.78"/>
        <n v="7.5999999999999988"/>
        <n v="1.1133333333333331"/>
        <n v="30.38"/>
        <n v="11.446666666666671"/>
        <n v="2.063333333333333"/>
        <n v="1.0866666666666669"/>
        <n v="2.35"/>
        <n v="4.7833333333333332"/>
        <n v="4.67"/>
        <n v="0.64"/>
        <n v="3.92"/>
        <n v="0.19"/>
        <n v="4.9899999999999993"/>
        <n v="0.33666666666666673"/>
        <n v="1.8633333333333331"/>
        <n v="13.44333333333334"/>
        <n v="4.8099999999999996"/>
        <n v="11.49"/>
        <n v="3.226666666666667"/>
        <n v="0.96333333333333326"/>
        <n v="1.343333333333333"/>
        <n v="0.56999999999999995"/>
        <n v="2.33"/>
        <n v="8.14"/>
        <n v="13.7"/>
        <n v="4.16"/>
        <n v="9.2566666666666659"/>
        <n v="0.77"/>
        <n v="1.68"/>
        <n v="15.50333333333333"/>
        <n v="84.986666666666665"/>
        <n v="1.963333333333334"/>
        <n v="7.78"/>
        <n v="1.2866666666666671"/>
        <n v="1.033333333333333"/>
        <n v="5.3266666666666671"/>
        <n v="1.753333333333333"/>
        <n v="13.41666666666667"/>
        <n v="1.486666666666667"/>
        <n v="2.6566666666666672"/>
        <n v="15.13"/>
        <n v="15"/>
        <n v="13.04"/>
        <n v="1.2666666666666671"/>
        <n v="1.24"/>
        <n v="3.9733333333333332"/>
        <n v="0.71"/>
        <n v="1.0666666666666671"/>
        <n v="1.21"/>
        <n v="7.0733333333333333"/>
        <n v="3.1066666666666669"/>
        <n v="18.41333333333333"/>
        <n v="0.48333333333333328"/>
        <n v="1.573333333333333"/>
        <n v="6.413333333333334"/>
        <n v="0.22"/>
        <n v="1.7666666666666671"/>
        <n v="10.196666666666671"/>
        <n v="13.616666666666671"/>
        <n v="2.046666666666666"/>
        <n v="2.2799999999999998"/>
        <n v="6.72"/>
        <n v="2.52"/>
        <n v="5.123333333333334"/>
        <n v="12.95"/>
        <n v="0.1066666666666667"/>
        <n v="11.3"/>
        <n v="4.6433333333333344"/>
        <n v="6.4366666666666674"/>
        <n v="0.76333333333333331"/>
        <n v="5.8033333333333337"/>
        <n v="5.4666666666666659"/>
        <n v="0.94333333333333336"/>
        <n v="1.85"/>
        <n v="7.0399999999999991"/>
        <n v="7.3333333333333334E-2"/>
        <n v="1.976666666666667"/>
        <n v="2.14"/>
        <n v="6.3766666666666678"/>
        <n v="5.4833333333333334"/>
        <n v="0.35999999999999988"/>
        <n v="3.38"/>
        <n v="4.38"/>
        <n v="1.37"/>
        <n v="0.36999999999999988"/>
        <n v="0.67666666666666675"/>
        <n v="2.21"/>
        <n v="19.91"/>
        <n v="6.333333333333333"/>
        <n v="0.46333333333333337"/>
        <n v="2.77"/>
        <n v="2.456666666666667"/>
        <n v="7.6333333333333329"/>
        <n v="1.946666666666667"/>
        <n v="15.266666666666669"/>
        <n v="0.98000000000000009"/>
        <n v="2.8866666666666672"/>
        <n v="5.2733333333333334"/>
        <n v="7.25"/>
        <n v="7.81"/>
        <n v="4.33"/>
        <n v="0.62333333333333329"/>
        <n v="6.3933333333333344"/>
        <n v="4.8933333333333344"/>
        <n v="134.6166666666667"/>
        <n v="0.68333333333333324"/>
        <n v="0.1333333333333333"/>
        <n v="10.01"/>
        <n v="6.7633333333333328"/>
        <n v="7.1133333333333333"/>
        <n v="5.4466666666666663"/>
        <n v="2.67"/>
        <n v="16.8"/>
        <n v="10.43"/>
        <n v="4.2666666666666666"/>
        <n v="0.18"/>
        <n v="10.94"/>
        <n v="7.6466666666666674"/>
        <n v="5.12"/>
        <n v="0.73999999999999988"/>
        <n v="3.5566666666666671"/>
        <n v="4.6033333333333326"/>
        <n v="1.2133333333333329"/>
        <n v="2.6333333333333329"/>
        <n v="5.3999999999999986"/>
        <n v="2.773333333333333"/>
      </sharedItems>
    </cacheField>
    <cacheField name="Price Range" numFmtId="0">
      <sharedItems count="5">
        <s v="&gt;$50"/>
        <s v="$0.5-$5"/>
        <s v="$0.05-$0.5"/>
        <s v="$5-$50"/>
        <s v="$0-$0.05"/>
      </sharedItems>
    </cacheField>
    <cacheField name="Curculating_Supply($)" numFmtId="0">
      <sharedItems containsString="0" containsBlank="1" containsNumber="1" minValue="96000" maxValue="990100000000000"/>
    </cacheField>
    <cacheField name="Rank_downfall(%)" numFmtId="0">
      <sharedItems containsSemiMixedTypes="0" containsString="0" containsNumber="1" containsInteger="1" minValue="1" maxValue="262" count="243">
        <n v="199"/>
        <n v="154"/>
        <n v="262"/>
        <n v="190"/>
        <n v="177"/>
        <n v="192"/>
        <n v="209"/>
        <n v="51"/>
        <n v="206"/>
        <n v="242"/>
        <n v="187"/>
        <n v="244"/>
        <n v="180"/>
        <n v="117"/>
        <n v="197"/>
        <n v="81"/>
        <n v="186"/>
        <n v="122"/>
        <n v="80"/>
        <n v="111"/>
        <n v="33"/>
        <n v="195"/>
        <n v="105"/>
        <n v="134"/>
        <n v="234"/>
        <n v="188"/>
        <n v="113"/>
        <n v="223"/>
        <n v="110"/>
        <n v="252"/>
        <n v="255"/>
        <n v="156"/>
        <n v="226"/>
        <n v="248"/>
        <n v="257"/>
        <n v="260"/>
        <n v="145"/>
        <n v="256"/>
        <n v="243"/>
        <n v="91"/>
        <n v="157"/>
        <n v="205"/>
        <n v="141"/>
        <n v="58"/>
        <n v="67"/>
        <n v="57"/>
        <n v="102"/>
        <n v="173"/>
        <n v="92"/>
        <n v="41"/>
        <n v="112"/>
        <n v="4"/>
        <n v="153"/>
        <n v="144"/>
        <n v="121"/>
        <n v="3"/>
        <n v="15"/>
        <n v="189"/>
        <n v="88"/>
        <n v="158"/>
        <n v="215"/>
        <n v="175"/>
        <n v="107"/>
        <n v="47"/>
        <n v="139"/>
        <n v="30"/>
        <n v="148"/>
        <n v="56"/>
        <n v="133"/>
        <n v="93"/>
        <n v="185"/>
        <n v="94"/>
        <n v="161"/>
        <n v="171"/>
        <n v="70"/>
        <n v="126"/>
        <n v="168"/>
        <n v="167"/>
        <n v="100"/>
        <n v="66"/>
        <n v="208"/>
        <n v="219"/>
        <n v="214"/>
        <n v="137"/>
        <n v="37"/>
        <n v="222"/>
        <n v="233"/>
        <n v="10"/>
        <n v="96"/>
        <n v="241"/>
        <n v="229"/>
        <n v="98"/>
        <n v="103"/>
        <n v="89"/>
        <n v="228"/>
        <n v="184"/>
        <n v="5"/>
        <n v="76"/>
        <n v="165"/>
        <n v="162"/>
        <n v="108"/>
        <n v="71"/>
        <n v="179"/>
        <n v="254"/>
        <n v="201"/>
        <n v="104"/>
        <n v="259"/>
        <n v="42"/>
        <n v="232"/>
        <n v="8"/>
        <n v="151"/>
        <n v="211"/>
        <n v="131"/>
        <n v="124"/>
        <n v="238"/>
        <n v="155"/>
        <n v="114"/>
        <n v="40"/>
        <n v="191"/>
        <n v="6"/>
        <n v="25"/>
        <n v="136"/>
        <n v="194"/>
        <n v="127"/>
        <n v="75"/>
        <n v="77"/>
        <n v="224"/>
        <n v="87"/>
        <n v="246"/>
        <n v="72"/>
        <n v="240"/>
        <n v="146"/>
        <n v="19"/>
        <n v="74"/>
        <n v="23"/>
        <n v="99"/>
        <n v="203"/>
        <n v="170"/>
        <n v="227"/>
        <n v="128"/>
        <n v="34"/>
        <n v="17"/>
        <n v="85"/>
        <n v="32"/>
        <n v="210"/>
        <n v="152"/>
        <n v="12"/>
        <n v="2"/>
        <n v="142"/>
        <n v="36"/>
        <n v="174"/>
        <n v="198"/>
        <n v="64"/>
        <n v="150"/>
        <n v="20"/>
        <n v="166"/>
        <n v="119"/>
        <n v="14"/>
        <n v="16"/>
        <n v="21"/>
        <n v="176"/>
        <n v="178"/>
        <n v="86"/>
        <n v="218"/>
        <n v="196"/>
        <n v="183"/>
        <n v="45"/>
        <n v="101"/>
        <n v="9"/>
        <n v="230"/>
        <n v="160"/>
        <n v="52"/>
        <n v="245"/>
        <n v="149"/>
        <n v="29"/>
        <n v="18"/>
        <n v="138"/>
        <n v="129"/>
        <n v="49"/>
        <n v="123"/>
        <n v="68"/>
        <n v="22"/>
        <n v="250"/>
        <n v="26"/>
        <n v="78"/>
        <n v="50"/>
        <n v="212"/>
        <n v="59"/>
        <n v="61"/>
        <n v="204"/>
        <n v="147"/>
        <n v="46"/>
        <n v="251"/>
        <n v="140"/>
        <n v="132"/>
        <n v="54"/>
        <n v="60"/>
        <n v="237"/>
        <n v="97"/>
        <n v="82"/>
        <n v="169"/>
        <n v="235"/>
        <n v="221"/>
        <n v="130"/>
        <n v="7"/>
        <n v="55"/>
        <n v="231"/>
        <n v="116"/>
        <n v="125"/>
        <n v="39"/>
        <n v="143"/>
        <n v="13"/>
        <n v="202"/>
        <n v="109"/>
        <n v="65"/>
        <n v="43"/>
        <n v="35"/>
        <n v="83"/>
        <n v="225"/>
        <n v="53"/>
        <n v="73"/>
        <n v="1"/>
        <n v="220"/>
        <n v="249"/>
        <n v="31"/>
        <n v="48"/>
        <n v="44"/>
        <n v="62"/>
        <n v="118"/>
        <n v="11"/>
        <n v="28"/>
        <n v="84"/>
        <n v="247"/>
        <n v="27"/>
        <n v="38"/>
        <n v="69"/>
        <n v="213"/>
        <n v="90"/>
        <n v="79"/>
        <n v="182"/>
        <n v="120"/>
        <n v="63"/>
        <n v="115"/>
      </sharedItems>
    </cacheField>
  </cacheFields>
  <extLst>
    <ext xmlns:x14="http://schemas.microsoft.com/office/spreadsheetml/2009/9/main" uri="{725AE2AE-9491-48be-B2B4-4EB974FC3084}">
      <x14:pivotCacheDefinition pivotCacheId="8329392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3">
  <r>
    <x v="0"/>
    <x v="0"/>
    <n v="76339.8"/>
    <n v="1.1999999999999999E-3"/>
    <n v="3.3E-3"/>
    <n v="2.64E-2"/>
    <n v="1528639234251"/>
    <n v="41516955884"/>
    <s v="20.02M"/>
    <x v="0"/>
    <x v="0"/>
    <n v="20020000"/>
    <x v="0"/>
  </r>
  <r>
    <x v="1"/>
    <x v="1"/>
    <n v="2273.4"/>
    <n v="8.0000000000000004E-4"/>
    <n v="8.8000000000000005E-3"/>
    <n v="4.0300000000000002E-2"/>
    <n v="274456148914"/>
    <n v="22079620314"/>
    <s v="120.68M"/>
    <x v="1"/>
    <x v="0"/>
    <n v="120680000"/>
    <x v="1"/>
  </r>
  <r>
    <x v="2"/>
    <x v="2"/>
    <n v="0.99960000000000004"/>
    <n v="0"/>
    <n v="0"/>
    <n v="4.0000000000000002E-4"/>
    <n v="189538725719"/>
    <n v="127735099684"/>
    <s v="189.6B"/>
    <x v="2"/>
    <x v="1"/>
    <n v="189600000000"/>
    <x v="2"/>
  </r>
  <r>
    <x v="3"/>
    <x v="3"/>
    <n v="1.37"/>
    <n v="5.9999999999999995E-4"/>
    <n v="5.9999999999999995E-4"/>
    <n v="3.2399999999999998E-2"/>
    <n v="85110547351"/>
    <n v="2422986058"/>
    <s v="61.68B"/>
    <x v="3"/>
    <x v="1"/>
    <n v="61680000000"/>
    <x v="3"/>
  </r>
  <r>
    <x v="4"/>
    <x v="4"/>
    <n v="619.64"/>
    <n v="1E-4"/>
    <n v="8.3000000000000001E-3"/>
    <n v="2.92E-2"/>
    <n v="83510385506"/>
    <n v="1613414107"/>
    <s v="134.78M"/>
    <x v="4"/>
    <x v="0"/>
    <n v="134780000"/>
    <x v="4"/>
  </r>
  <r>
    <x v="5"/>
    <x v="5"/>
    <n v="0.99990000000000001"/>
    <n v="1E-4"/>
    <n v="0"/>
    <n v="2.9999999999999997E-4"/>
    <n v="77260433231"/>
    <n v="49363112078"/>
    <s v="77.26B"/>
    <x v="2"/>
    <x v="1"/>
    <n v="77260000000"/>
    <x v="2"/>
  </r>
  <r>
    <x v="6"/>
    <x v="6"/>
    <n v="83.79"/>
    <n v="6.9999999999999999E-4"/>
    <n v="2.8E-3"/>
    <n v="2.9399999999999999E-2"/>
    <n v="48276189834"/>
    <n v="4607299948"/>
    <s v="576.08M"/>
    <x v="5"/>
    <x v="0"/>
    <n v="576080000"/>
    <x v="5"/>
  </r>
  <r>
    <x v="7"/>
    <x v="7"/>
    <n v="0.32350000000000001"/>
    <n v="1.1999999999999999E-3"/>
    <n v="4.5999999999999999E-3"/>
    <n v="1.9099999999999999E-2"/>
    <n v="30666672948"/>
    <n v="656480041"/>
    <s v="94.78B"/>
    <x v="6"/>
    <x v="2"/>
    <n v="94780000000"/>
    <x v="6"/>
  </r>
  <r>
    <x v="8"/>
    <x v="8"/>
    <n v="0.1074"/>
    <n v="1.6999999999999999E-3"/>
    <n v="7.6399999999999996E-2"/>
    <n v="0.1147"/>
    <n v="18238636948"/>
    <n v="4898756574"/>
    <s v="169.74B"/>
    <x v="7"/>
    <x v="2"/>
    <n v="169740000000"/>
    <x v="7"/>
  </r>
  <r>
    <x v="9"/>
    <x v="9"/>
    <n v="40.17"/>
    <n v="1E-3"/>
    <n v="1.9E-3"/>
    <n v="2.3800000000000002E-2"/>
    <n v="10240861135"/>
    <n v="228206723"/>
    <s v="254.93M"/>
    <x v="8"/>
    <x v="3"/>
    <n v="254930000"/>
    <x v="8"/>
  </r>
  <r>
    <x v="10"/>
    <x v="10"/>
    <n v="10.37"/>
    <n v="1.2999999999999999E-3"/>
    <n v="2.0000000000000001E-4"/>
    <n v="7.6E-3"/>
    <n v="9550835296"/>
    <n v="481113"/>
    <s v="920.73M"/>
    <x v="9"/>
    <x v="3"/>
    <n v="920730000"/>
    <x v="9"/>
  </r>
  <r>
    <x v="11"/>
    <x v="11"/>
    <n v="447.9"/>
    <n v="1.8E-3"/>
    <n v="9.1000000000000004E-3"/>
    <n v="2.4500000000000001E-2"/>
    <n v="8970586031"/>
    <n v="204749213"/>
    <s v="20.02M"/>
    <x v="10"/>
    <x v="0"/>
    <n v="20020000"/>
    <x v="10"/>
  </r>
  <r>
    <x v="12"/>
    <x v="12"/>
    <n v="0.24679999999999999"/>
    <n v="2.8E-3"/>
    <n v="8.0000000000000004E-4"/>
    <n v="4.1999999999999997E-3"/>
    <n v="8934531650"/>
    <n v="562678331"/>
    <s v="36.18B"/>
    <x v="11"/>
    <x v="2"/>
    <n v="36180000000"/>
    <x v="11"/>
  </r>
  <r>
    <x v="13"/>
    <x v="13"/>
    <n v="379.07"/>
    <n v="4.1999999999999997E-3"/>
    <n v="1.6000000000000001E-3"/>
    <n v="3.0700000000000002E-2"/>
    <n v="6992770799"/>
    <n v="108998949"/>
    <s v="18.44M"/>
    <x v="12"/>
    <x v="0"/>
    <n v="18440000"/>
    <x v="12"/>
  </r>
  <r>
    <x v="14"/>
    <x v="14"/>
    <n v="3.48"/>
    <n v="1.5E-3"/>
    <n v="2.4E-2"/>
    <n v="5.4800000000000001E-2"/>
    <n v="347905411"/>
    <n v="63575492"/>
    <s v="99.97M"/>
    <x v="13"/>
    <x v="1"/>
    <n v="99970000"/>
    <x v="13"/>
  </r>
  <r>
    <x v="15"/>
    <x v="15"/>
    <n v="0.23089999999999999"/>
    <n v="2.5000000000000001E-3"/>
    <n v="1.3899999999999999E-2"/>
    <n v="1.5100000000000001E-2"/>
    <n v="345854876"/>
    <n v="72020398"/>
    <s v="1.49B"/>
    <x v="14"/>
    <x v="2"/>
    <n v="1490000000"/>
    <x v="14"/>
  </r>
  <r>
    <x v="16"/>
    <x v="16"/>
    <n v="0.41149999999999998"/>
    <n v="6.6E-3"/>
    <n v="3.0800000000000001E-2"/>
    <n v="9.7900000000000001E-2"/>
    <n v="342376203"/>
    <n v="23774233"/>
    <s v="831.96M"/>
    <x v="15"/>
    <x v="2"/>
    <n v="831960000"/>
    <x v="15"/>
  </r>
  <r>
    <x v="17"/>
    <x v="17"/>
    <n v="125.45"/>
    <n v="6.4999999999999997E-3"/>
    <n v="5.4999999999999997E-3"/>
    <n v="2.3599999999999999E-2"/>
    <n v="331120518"/>
    <n v="2065052"/>
    <s v="2.63M"/>
    <x v="16"/>
    <x v="0"/>
    <n v="2630000"/>
    <x v="16"/>
  </r>
  <r>
    <x v="18"/>
    <x v="18"/>
    <n v="0.1651"/>
    <n v="1E-4"/>
    <n v="5.7999999999999996E-3"/>
    <n v="7.2499999999999995E-2"/>
    <n v="330233835"/>
    <n v="21750114"/>
    <s v="2B"/>
    <x v="17"/>
    <x v="2"/>
    <n v="2000000000"/>
    <x v="17"/>
  </r>
  <r>
    <x v="19"/>
    <x v="19"/>
    <n v="3.3E-3"/>
    <n v="1.3100000000000001E-2"/>
    <n v="1.06E-2"/>
    <n v="0.11360000000000001"/>
    <n v="326618165"/>
    <n v="10089436"/>
    <s v="99.99B"/>
    <x v="18"/>
    <x v="4"/>
    <n v="99990000000"/>
    <x v="18"/>
  </r>
  <r>
    <x v="20"/>
    <x v="20"/>
    <n v="18.73"/>
    <n v="4.0000000000000002E-4"/>
    <n v="1.3100000000000001E-2"/>
    <n v="7.0900000000000005E-2"/>
    <n v="325924089"/>
    <n v="1718582"/>
    <s v="17.39M"/>
    <x v="19"/>
    <x v="3"/>
    <n v="17390000"/>
    <x v="19"/>
  </r>
  <r>
    <x v="21"/>
    <x v="21"/>
    <n v="2.7300000000000001E-2"/>
    <n v="7.4999999999999997E-3"/>
    <n v="6.4199999999999993E-2"/>
    <n v="0.2"/>
    <n v="322394095"/>
    <n v="91616564"/>
    <s v="11.82B"/>
    <x v="20"/>
    <x v="4"/>
    <n v="11820000000"/>
    <x v="20"/>
  </r>
  <r>
    <x v="22"/>
    <x v="22"/>
    <n v="15.94"/>
    <n v="1.4E-3"/>
    <n v="2.8400000000000002E-2"/>
    <n v="2.7000000000000001E-3"/>
    <n v="319182732"/>
    <n v="12306230"/>
    <s v="20.02M"/>
    <x v="21"/>
    <x v="3"/>
    <n v="20020000"/>
    <x v="21"/>
  </r>
  <r>
    <x v="23"/>
    <x v="23"/>
    <n v="0.34989999999999999"/>
    <n v="1.8E-3"/>
    <n v="4.5900000000000003E-2"/>
    <n v="4.1399999999999999E-2"/>
    <n v="318901122"/>
    <n v="40038559"/>
    <s v="911.14M"/>
    <x v="22"/>
    <x v="2"/>
    <n v="911140000"/>
    <x v="22"/>
  </r>
  <r>
    <x v="24"/>
    <x v="24"/>
    <n v="0.37530000000000002"/>
    <n v="1.1999999999999999E-3"/>
    <n v="3.9699999999999999E-2"/>
    <n v="2.1600000000000001E-2"/>
    <n v="318722810"/>
    <n v="72635604"/>
    <s v="849.19M"/>
    <x v="23"/>
    <x v="2"/>
    <n v="849190000"/>
    <x v="23"/>
  </r>
  <r>
    <x v="25"/>
    <x v="25"/>
    <n v="6.3200000000000006E-2"/>
    <n v="4.0000000000000002E-4"/>
    <n v="1E-4"/>
    <n v="1.2200000000000001E-2"/>
    <n v="316264559"/>
    <n v="5563195"/>
    <s v="987.03T"/>
    <x v="24"/>
    <x v="2"/>
    <n v="987030000000000"/>
    <x v="24"/>
  </r>
  <r>
    <x v="26"/>
    <x v="26"/>
    <n v="0"/>
    <n v="4.3E-3"/>
    <n v="2.2499999999999999E-2"/>
    <n v="8.3000000000000001E-3"/>
    <n v="312273665"/>
    <n v="52369119"/>
    <s v="9.53T"/>
    <x v="25"/>
    <x v="4"/>
    <n v="9530000000000"/>
    <x v="25"/>
  </r>
  <r>
    <x v="27"/>
    <x v="27"/>
    <n v="6.3100000000000003E-2"/>
    <n v="1.1299999999999999E-2"/>
    <n v="8.3000000000000001E-3"/>
    <n v="6.4000000000000001E-2"/>
    <n v="308975202"/>
    <n v="10612151"/>
    <s v="990.1T"/>
    <x v="26"/>
    <x v="2"/>
    <n v="990100000000000"/>
    <x v="26"/>
  </r>
  <r>
    <x v="28"/>
    <x v="28"/>
    <n v="5.8599999999999999E-2"/>
    <n v="2.9999999999999997E-4"/>
    <n v="1.8200000000000001E-2"/>
    <n v="1.2999999999999999E-3"/>
    <n v="305175223"/>
    <n v="23452779"/>
    <s v="5.2B"/>
    <x v="27"/>
    <x v="2"/>
    <n v="5200000000"/>
    <x v="27"/>
  </r>
  <r>
    <x v="29"/>
    <x v="29"/>
    <n v="7.9000000000000008E-3"/>
    <n v="4.1000000000000003E-3"/>
    <n v="5.6300000000000003E-2"/>
    <n v="2.6100000000000002E-2"/>
    <n v="3766877921"/>
    <n v="18854931"/>
    <s v="478.38B"/>
    <x v="28"/>
    <x v="4"/>
    <n v="478380000000"/>
    <x v="28"/>
  </r>
  <r>
    <x v="30"/>
    <x v="30"/>
    <n v="5.1799999999999999E-2"/>
    <n v="1E-4"/>
    <n v="1.6000000000000001E-3"/>
    <n v="2.9999999999999997E-4"/>
    <n v="1657490427"/>
    <n v="16898107"/>
    <s v="905.7T"/>
    <x v="29"/>
    <x v="2"/>
    <n v="905700000000000"/>
    <x v="29"/>
  </r>
  <r>
    <x v="31"/>
    <x v="31"/>
    <n v="1.1200000000000001"/>
    <n v="1E-4"/>
    <n v="8.9999999999999998E-4"/>
    <n v="5.9999999999999995E-4"/>
    <n v="1325414264"/>
    <n v="638817"/>
    <s v="1.17B"/>
    <x v="30"/>
    <x v="1"/>
    <n v="1170000000"/>
    <x v="30"/>
  </r>
  <r>
    <x v="32"/>
    <x v="32"/>
    <n v="0.2099"/>
    <n v="3.8999999999999998E-3"/>
    <n v="2.5999999999999999E-3"/>
    <n v="4.2700000000000002E-2"/>
    <n v="935842740"/>
    <n v="2576244"/>
    <s v="4.45B"/>
    <x v="31"/>
    <x v="2"/>
    <n v="4450000000"/>
    <x v="31"/>
  </r>
  <r>
    <x v="33"/>
    <x v="33"/>
    <n v="3.85"/>
    <n v="5.0000000000000001E-4"/>
    <n v="8.9999999999999998E-4"/>
    <n v="1.7100000000000001E-2"/>
    <n v="911294711"/>
    <n v="5799359"/>
    <s v="236.64M"/>
    <x v="32"/>
    <x v="1"/>
    <n v="236640000"/>
    <x v="32"/>
  </r>
  <r>
    <x v="34"/>
    <x v="34"/>
    <n v="0.08"/>
    <n v="1.1000000000000001E-3"/>
    <n v="3.0999999999999999E-3"/>
    <n v="5.0000000000000001E-4"/>
    <n v="618748275"/>
    <n v="12844559"/>
    <s v="7.73B"/>
    <x v="33"/>
    <x v="2"/>
    <n v="7730000000"/>
    <x v="33"/>
  </r>
  <r>
    <x v="35"/>
    <x v="35"/>
    <n v="0.99939999999999996"/>
    <n v="0"/>
    <n v="2.9999999999999997E-4"/>
    <n v="5.0000000000000001E-4"/>
    <n v="583701632"/>
    <n v="1409774"/>
    <s v="584M"/>
    <x v="34"/>
    <x v="1"/>
    <n v="584000000"/>
    <x v="34"/>
  </r>
  <r>
    <x v="36"/>
    <x v="36"/>
    <n v="0.99970000000000003"/>
    <n v="1E-4"/>
    <n v="0"/>
    <n v="4.0000000000000002E-4"/>
    <n v="359619899"/>
    <n v="606156"/>
    <s v="359.69M"/>
    <x v="35"/>
    <x v="1"/>
    <n v="359690000"/>
    <x v="35"/>
  </r>
  <r>
    <x v="37"/>
    <x v="37"/>
    <n v="5.1299999999999998E-2"/>
    <n v="1.8E-3"/>
    <n v="1.1299999999999999E-2"/>
    <n v="4.3200000000000002E-2"/>
    <n v="282572112"/>
    <n v="48970328"/>
    <s v="210T"/>
    <x v="36"/>
    <x v="2"/>
    <n v="210000000000000"/>
    <x v="36"/>
  </r>
  <r>
    <x v="38"/>
    <x v="38"/>
    <n v="0.99309999999999998"/>
    <n v="5.9999999999999995E-4"/>
    <n v="4.0000000000000002E-4"/>
    <n v="2.0000000000000001E-4"/>
    <n v="274032783"/>
    <n v="193668"/>
    <s v="275.93M"/>
    <x v="37"/>
    <x v="1"/>
    <n v="275930000"/>
    <x v="37"/>
  </r>
  <r>
    <x v="39"/>
    <x v="39"/>
    <n v="0.18720000000000001"/>
    <n v="2.0000000000000001E-4"/>
    <n v="1E-4"/>
    <n v="7.6E-3"/>
    <n v="183908989"/>
    <n v="288733"/>
    <s v="982.25M"/>
    <x v="38"/>
    <x v="2"/>
    <n v="982250000"/>
    <x v="38"/>
  </r>
  <r>
    <x v="40"/>
    <x v="40"/>
    <n v="7.4000000000000003E-3"/>
    <n v="1.9400000000000001E-2"/>
    <n v="3.1699999999999999E-2"/>
    <n v="5.5199999999999999E-2"/>
    <n v="74062291"/>
    <n v="13338110"/>
    <s v="9.99B"/>
    <x v="39"/>
    <x v="4"/>
    <n v="9990000000"/>
    <x v="39"/>
  </r>
  <r>
    <x v="41"/>
    <x v="41"/>
    <n v="9.5799999999999996E-2"/>
    <n v="2.3999999999999998E-3"/>
    <n v="3.3099999999999997E-2"/>
    <n v="1.2800000000000001E-2"/>
    <n v="74031178"/>
    <n v="4668174"/>
    <s v="772.4M"/>
    <x v="40"/>
    <x v="2"/>
    <n v="772400000"/>
    <x v="40"/>
  </r>
  <r>
    <x v="42"/>
    <x v="42"/>
    <n v="1.5E-3"/>
    <n v="4.8999999999999998E-3"/>
    <n v="4.4999999999999997E-3"/>
    <n v="1.7399999999999999E-2"/>
    <n v="73350366"/>
    <n v="3712247"/>
    <s v="48.67B"/>
    <x v="41"/>
    <x v="4"/>
    <n v="48670000000"/>
    <x v="41"/>
  </r>
  <r>
    <x v="43"/>
    <x v="43"/>
    <n v="2.23E-2"/>
    <n v="5.1000000000000004E-3"/>
    <n v="2.1399999999999999E-2"/>
    <n v="3.2599999999999997E-2"/>
    <n v="73132503"/>
    <n v="11466149"/>
    <s v="3.27B"/>
    <x v="42"/>
    <x v="4"/>
    <n v="3270000000"/>
    <x v="42"/>
  </r>
  <r>
    <x v="44"/>
    <x v="44"/>
    <n v="7.2400000000000006E-2"/>
    <n v="4.4000000000000003E-3"/>
    <n v="3.7699999999999997E-2"/>
    <n v="0.13880000000000001"/>
    <n v="72413512"/>
    <n v="6662858"/>
    <s v="999.96M"/>
    <x v="43"/>
    <x v="2"/>
    <n v="999960000"/>
    <x v="43"/>
  </r>
  <r>
    <x v="45"/>
    <x v="45"/>
    <n v="1.26E-2"/>
    <n v="3.5999999999999999E-3"/>
    <n v="1.5100000000000001E-2"/>
    <n v="1.4200000000000001E-2"/>
    <n v="72319563"/>
    <n v="16989012"/>
    <s v="5.75B"/>
    <x v="5"/>
    <x v="4"/>
    <n v="5750000000"/>
    <x v="5"/>
  </r>
  <r>
    <x v="46"/>
    <x v="46"/>
    <n v="0.25559999999999999"/>
    <n v="6.3E-3"/>
    <n v="5.7099999999999998E-2"/>
    <n v="9.3100000000000002E-2"/>
    <n v="72047637"/>
    <n v="13158577"/>
    <s v="281.84M"/>
    <x v="44"/>
    <x v="2"/>
    <n v="281840000"/>
    <x v="44"/>
  </r>
  <r>
    <x v="47"/>
    <x v="47"/>
    <n v="375.07"/>
    <n v="1.5E-3"/>
    <n v="7.0300000000000001E-2"/>
    <n v="0.1095"/>
    <n v="71062822"/>
    <n v="9118217"/>
    <s v="189.46K"/>
    <x v="45"/>
    <x v="0"/>
    <n v="189460"/>
    <x v="45"/>
  </r>
  <r>
    <x v="48"/>
    <x v="48"/>
    <n v="7.0999999999999994E-2"/>
    <n v="7.1000000000000004E-3"/>
    <n v="1.3899999999999999E-2"/>
    <n v="7.1499999999999994E-2"/>
    <n v="70966684"/>
    <n v="8942254"/>
    <s v="1B"/>
    <x v="46"/>
    <x v="2"/>
    <n v="1000000000"/>
    <x v="46"/>
  </r>
  <r>
    <x v="49"/>
    <x v="49"/>
    <n v="8.2000000000000007E-3"/>
    <n v="8.8999999999999999E-3"/>
    <n v="1.55E-2"/>
    <n v="1.4500000000000001E-2"/>
    <n v="70770090"/>
    <n v="2498843"/>
    <s v="8.58B"/>
    <x v="47"/>
    <x v="4"/>
    <n v="8580000000"/>
    <x v="47"/>
  </r>
  <r>
    <x v="50"/>
    <x v="50"/>
    <n v="3.8999999999999998E-3"/>
    <n v="5.1999999999999998E-3"/>
    <n v="1.55E-2"/>
    <n v="8.5400000000000004E-2"/>
    <n v="70557104"/>
    <n v="1559954"/>
    <s v="18.26B"/>
    <x v="48"/>
    <x v="4"/>
    <n v="18260000000"/>
    <x v="48"/>
  </r>
  <r>
    <x v="51"/>
    <x v="51"/>
    <n v="7.0000000000000001E-3"/>
    <n v="3.7000000000000002E-3"/>
    <n v="9.0899999999999995E-2"/>
    <n v="0.1318"/>
    <n v="70497158"/>
    <n v="13505819"/>
    <s v="9.99B"/>
    <x v="49"/>
    <x v="4"/>
    <n v="9990000000"/>
    <x v="49"/>
  </r>
  <r>
    <x v="52"/>
    <x v="52"/>
    <n v="6.0600000000000001E-2"/>
    <n v="1.35E-2"/>
    <n v="1.7100000000000001E-2"/>
    <n v="5.3100000000000001E-2"/>
    <n v="70361978"/>
    <n v="60743701"/>
    <s v="1.16B"/>
    <x v="50"/>
    <x v="2"/>
    <n v="1160000000"/>
    <x v="50"/>
  </r>
  <r>
    <x v="53"/>
    <x v="53"/>
    <n v="5.3400000000000003E-2"/>
    <n v="5.8900000000000001E-2"/>
    <n v="0.47889999999999999"/>
    <n v="0.47889999999999999"/>
    <n v="69651110"/>
    <n v="78699414"/>
    <s v="1.3B"/>
    <x v="51"/>
    <x v="2"/>
    <n v="1300000000"/>
    <x v="51"/>
  </r>
  <r>
    <x v="54"/>
    <x v="54"/>
    <n v="0.126"/>
    <n v="4.1000000000000003E-3"/>
    <n v="2.0999999999999999E-3"/>
    <n v="4.3999999999999997E-2"/>
    <n v="68840049"/>
    <n v="1190286"/>
    <s v="546.33M"/>
    <x v="52"/>
    <x v="2"/>
    <n v="546330000"/>
    <x v="52"/>
  </r>
  <r>
    <x v="55"/>
    <x v="55"/>
    <n v="2.76"/>
    <n v="3.5999999999999999E-3"/>
    <n v="1.5100000000000001E-2"/>
    <n v="3.8699999999999998E-2"/>
    <n v="47754104"/>
    <n v="13336235"/>
    <s v="17.26M"/>
    <x v="53"/>
    <x v="1"/>
    <n v="17260000"/>
    <x v="53"/>
  </r>
  <r>
    <x v="56"/>
    <x v="56"/>
    <n v="0.14879999999999999"/>
    <n v="1.2500000000000001E-2"/>
    <n v="4.2200000000000001E-2"/>
    <n v="2.41E-2"/>
    <n v="47635416"/>
    <n v="12970101"/>
    <s v="320.06M"/>
    <x v="54"/>
    <x v="2"/>
    <n v="320060000"/>
    <x v="54"/>
  </r>
  <r>
    <x v="57"/>
    <x v="57"/>
    <n v="1.5800000000000002E-2"/>
    <n v="0.01"/>
    <n v="0.23649999999999999"/>
    <n v="1.2081"/>
    <n v="46834853"/>
    <n v="38791653"/>
    <s v="2.96B"/>
    <x v="55"/>
    <x v="4"/>
    <n v="2960000000"/>
    <x v="55"/>
  </r>
  <r>
    <x v="58"/>
    <x v="58"/>
    <n v="0.02"/>
    <n v="1.72E-2"/>
    <n v="4.53E-2"/>
    <n v="0.38890000000000002"/>
    <n v="46022092"/>
    <n v="8399389"/>
    <s v="2.3B"/>
    <x v="56"/>
    <x v="4"/>
    <n v="2300000000"/>
    <x v="56"/>
  </r>
  <r>
    <x v="59"/>
    <x v="59"/>
    <n v="2.8999999999999998E-3"/>
    <n v="5.0000000000000001E-4"/>
    <n v="9.4999999999999998E-3"/>
    <n v="2.4899999999999999E-2"/>
    <n v="46011603"/>
    <n v="1226209"/>
    <s v="15.87B"/>
    <x v="57"/>
    <x v="4"/>
    <n v="15870000000"/>
    <x v="57"/>
  </r>
  <r>
    <x v="60"/>
    <x v="60"/>
    <n v="6.4100000000000004E-2"/>
    <n v="4.5999999999999999E-3"/>
    <n v="9.4000000000000004E-3"/>
    <n v="0.10290000000000001"/>
    <n v="45490970"/>
    <n v="16763953"/>
    <s v="709.98M"/>
    <x v="58"/>
    <x v="2"/>
    <n v="709980000"/>
    <x v="58"/>
  </r>
  <r>
    <x v="61"/>
    <x v="38"/>
    <n v="0.47289999999999999"/>
    <n v="2.0000000000000001E-4"/>
    <n v="1.9199999999999998E-2"/>
    <n v="2.86E-2"/>
    <n v="45153852"/>
    <n v="1089382"/>
    <s v="95.47M"/>
    <x v="59"/>
    <x v="2"/>
    <n v="95470000"/>
    <x v="59"/>
  </r>
  <r>
    <x v="62"/>
    <x v="61"/>
    <n v="0.17810000000000001"/>
    <n v="1.8E-3"/>
    <n v="2.8E-3"/>
    <n v="1.6899999999999998E-2"/>
    <n v="43969148"/>
    <n v="4653061"/>
    <s v="246.87M"/>
    <x v="60"/>
    <x v="2"/>
    <n v="246870000"/>
    <x v="60"/>
  </r>
  <r>
    <x v="63"/>
    <x v="62"/>
    <n v="2.3300000000000001E-2"/>
    <n v="1.8E-3"/>
    <n v="1.32E-2"/>
    <n v="2.3099999999999999E-2"/>
    <n v="43940101"/>
    <n v="1084305"/>
    <s v="1.88B"/>
    <x v="61"/>
    <x v="4"/>
    <n v="1880000000"/>
    <x v="61"/>
  </r>
  <r>
    <x v="64"/>
    <x v="63"/>
    <n v="0.17910000000000001"/>
    <n v="7.1000000000000004E-3"/>
    <n v="7.1999999999999998E-3"/>
    <n v="7.4200000000000002E-2"/>
    <n v="43581244"/>
    <n v="8332837"/>
    <s v="243.23M"/>
    <x v="62"/>
    <x v="2"/>
    <n v="243230000"/>
    <x v="62"/>
  </r>
  <r>
    <x v="65"/>
    <x v="64"/>
    <n v="0.43190000000000001"/>
    <n v="3.1199999999999999E-2"/>
    <n v="8.4699999999999998E-2"/>
    <n v="9.35E-2"/>
    <n v="43548035"/>
    <n v="3174625"/>
    <s v="100.82M"/>
    <x v="63"/>
    <x v="2"/>
    <n v="100820000"/>
    <x v="63"/>
  </r>
  <r>
    <x v="66"/>
    <x v="65"/>
    <n v="1.44"/>
    <n v="1E-3"/>
    <n v="3.2599999999999997E-2"/>
    <n v="2.6700000000000002E-2"/>
    <n v="43486863"/>
    <n v="15808377"/>
    <s v="30.08M"/>
    <x v="64"/>
    <x v="1"/>
    <n v="30080000"/>
    <x v="64"/>
  </r>
  <r>
    <x v="67"/>
    <x v="66"/>
    <n v="1.9800000000000002E-2"/>
    <n v="2.5700000000000001E-2"/>
    <n v="8.6300000000000002E-2"/>
    <n v="0.18959999999999999"/>
    <n v="43463113"/>
    <n v="11948655"/>
    <s v="2.2B"/>
    <x v="65"/>
    <x v="4"/>
    <n v="2200000000"/>
    <x v="65"/>
  </r>
  <r>
    <x v="68"/>
    <x v="67"/>
    <n v="0.27639999999999998"/>
    <n v="2.3E-3"/>
    <n v="1.18E-2"/>
    <n v="3.9300000000000002E-2"/>
    <n v="43434101"/>
    <n v="324360"/>
    <s v="157.13M"/>
    <x v="66"/>
    <x v="2"/>
    <n v="157130000"/>
    <x v="66"/>
  </r>
  <r>
    <x v="69"/>
    <x v="68"/>
    <n v="7.7000000000000002E-3"/>
    <n v="7.7999999999999996E-3"/>
    <n v="2.3199999999999998E-2"/>
    <n v="0.15759999999999999"/>
    <n v="34755756"/>
    <n v="6041319"/>
    <s v="4.51B"/>
    <x v="67"/>
    <x v="4"/>
    <n v="4510000000"/>
    <x v="67"/>
  </r>
  <r>
    <x v="70"/>
    <x v="69"/>
    <n v="1.11E-2"/>
    <n v="6.1000000000000004E-3"/>
    <n v="3.1399999999999997E-2"/>
    <n v="2.52E-2"/>
    <n v="34642509"/>
    <n v="133750816"/>
    <s v="3.11B"/>
    <x v="68"/>
    <x v="4"/>
    <n v="3110000000"/>
    <x v="68"/>
  </r>
  <r>
    <x v="71"/>
    <x v="70"/>
    <n v="0.31969999999999998"/>
    <n v="3.7000000000000002E-3"/>
    <n v="8.0000000000000002E-3"/>
    <n v="9.2700000000000005E-2"/>
    <n v="34478082"/>
    <n v="4697426"/>
    <s v="107.81M"/>
    <x v="69"/>
    <x v="2"/>
    <n v="107810000"/>
    <x v="69"/>
  </r>
  <r>
    <x v="72"/>
    <x v="71"/>
    <n v="0.99990000000000001"/>
    <n v="5.9999999999999995E-4"/>
    <n v="6.9999999999999999E-4"/>
    <n v="6.9999999999999999E-4"/>
    <n v="34461136"/>
    <n v="410367"/>
    <s v="34.46M"/>
    <x v="29"/>
    <x v="1"/>
    <n v="34460000"/>
    <x v="29"/>
  </r>
  <r>
    <x v="73"/>
    <x v="72"/>
    <n v="1.1499999999999999"/>
    <n v="1.1000000000000001E-3"/>
    <n v="6.0000000000000001E-3"/>
    <n v="1.44E-2"/>
    <n v="34400268"/>
    <n v="4165"/>
    <s v="29.82M"/>
    <x v="60"/>
    <x v="1"/>
    <n v="29820000"/>
    <x v="60"/>
  </r>
  <r>
    <x v="74"/>
    <x v="73"/>
    <n v="0.34389999999999998"/>
    <n v="2.5999999999999999E-3"/>
    <n v="7.4000000000000003E-3"/>
    <n v="2.5899999999999999E-2"/>
    <n v="34399902"/>
    <n v="3861387"/>
    <s v="100M"/>
    <x v="70"/>
    <x v="2"/>
    <n v="100000000"/>
    <x v="70"/>
  </r>
  <r>
    <x v="75"/>
    <x v="74"/>
    <n v="0.10150000000000001"/>
    <n v="5.8999999999999999E-3"/>
    <n v="1.66E-2"/>
    <n v="8.1000000000000003E-2"/>
    <n v="34394095"/>
    <n v="2322728"/>
    <s v="338.79M"/>
    <x v="71"/>
    <x v="2"/>
    <n v="338790000"/>
    <x v="71"/>
  </r>
  <r>
    <x v="76"/>
    <x v="75"/>
    <n v="4.6600000000000003E-2"/>
    <n v="7.7000000000000002E-3"/>
    <n v="8.2000000000000007E-3"/>
    <n v="3.1099999999999999E-2"/>
    <n v="34345276"/>
    <n v="12505157"/>
    <s v="736.2M"/>
    <x v="72"/>
    <x v="4"/>
    <n v="736200000"/>
    <x v="72"/>
  </r>
  <r>
    <x v="77"/>
    <x v="76"/>
    <n v="0.17299999999999999"/>
    <n v="8.9999999999999998E-4"/>
    <n v="2.64E-2"/>
    <n v="1.26E-2"/>
    <n v="34342934"/>
    <n v="6529"/>
    <s v="198.39M"/>
    <x v="73"/>
    <x v="2"/>
    <n v="198390000"/>
    <x v="73"/>
  </r>
  <r>
    <x v="78"/>
    <x v="77"/>
    <n v="5.0000000000000001E-4"/>
    <n v="8.3000000000000001E-3"/>
    <n v="1.6000000000000001E-3"/>
    <n v="0.1429"/>
    <n v="34342892"/>
    <n v="8137454"/>
    <s v="74.72B"/>
    <x v="74"/>
    <x v="4"/>
    <n v="74720000000"/>
    <x v="74"/>
  </r>
  <r>
    <x v="79"/>
    <x v="78"/>
    <n v="1.67E-2"/>
    <n v="3.5000000000000001E-3"/>
    <n v="3.1300000000000001E-2"/>
    <n v="3.7100000000000001E-2"/>
    <n v="34258638"/>
    <n v="2460159"/>
    <s v="2.05B"/>
    <x v="75"/>
    <x v="4"/>
    <n v="2049999999.9999998"/>
    <x v="75"/>
  </r>
  <r>
    <x v="80"/>
    <x v="79"/>
    <n v="4.66"/>
    <n v="2.0000000000000001E-4"/>
    <n v="3.2300000000000002E-2"/>
    <n v="9.5999999999999992E-3"/>
    <n v="34234901"/>
    <n v="7391044"/>
    <s v="7.33M"/>
    <x v="76"/>
    <x v="1"/>
    <n v="7330000"/>
    <x v="76"/>
  </r>
  <r>
    <x v="81"/>
    <x v="80"/>
    <n v="8.3199999999999996E-2"/>
    <n v="7.7999999999999996E-3"/>
    <n v="4.7999999999999996E-3"/>
    <n v="3.0499999999999999E-2"/>
    <n v="34059204"/>
    <n v="8378351"/>
    <s v="409.5M"/>
    <x v="77"/>
    <x v="2"/>
    <n v="409500000"/>
    <x v="77"/>
  </r>
  <r>
    <x v="82"/>
    <x v="81"/>
    <n v="1.3599999999999999E-2"/>
    <n v="4.7000000000000002E-3"/>
    <n v="2.23E-2"/>
    <n v="6.6299999999999998E-2"/>
    <n v="34056298"/>
    <n v="8047977"/>
    <s v="2.5B"/>
    <x v="78"/>
    <x v="4"/>
    <n v="2500000000"/>
    <x v="78"/>
  </r>
  <r>
    <x v="83"/>
    <x v="82"/>
    <n v="6.1000000000000004E-3"/>
    <n v="2.5000000000000001E-3"/>
    <n v="1.7100000000000001E-2"/>
    <n v="0.13819999999999999"/>
    <n v="33924795"/>
    <n v="4555722"/>
    <s v="5.57B"/>
    <x v="79"/>
    <x v="4"/>
    <n v="5570000000"/>
    <x v="79"/>
  </r>
  <r>
    <x v="84"/>
    <x v="83"/>
    <n v="3.3999999999999998E-3"/>
    <n v="2.0000000000000001E-4"/>
    <n v="1.0800000000000001E-2"/>
    <n v="1.4999999999999999E-2"/>
    <n v="27120091"/>
    <n v="1435285"/>
    <s v="8B"/>
    <x v="80"/>
    <x v="4"/>
    <n v="8000000000"/>
    <x v="80"/>
  </r>
  <r>
    <x v="85"/>
    <x v="84"/>
    <n v="6.6199999999999995E-2"/>
    <n v="1.8E-3"/>
    <n v="1.83E-2"/>
    <n v="4.0000000000000002E-4"/>
    <n v="27024959"/>
    <n v="3063215"/>
    <s v="408.21M"/>
    <x v="81"/>
    <x v="2"/>
    <n v="408210000"/>
    <x v="81"/>
  </r>
  <r>
    <x v="86"/>
    <x v="85"/>
    <n v="0.29780000000000001"/>
    <n v="2.0999999999999999E-3"/>
    <n v="3.7000000000000002E-3"/>
    <n v="1.61E-2"/>
    <n v="26996878"/>
    <n v="1214201"/>
    <s v="90.63M"/>
    <x v="82"/>
    <x v="2"/>
    <n v="90630000"/>
    <x v="82"/>
  </r>
  <r>
    <x v="87"/>
    <x v="86"/>
    <n v="3.4000000000000002E-2"/>
    <n v="9.9000000000000008E-3"/>
    <n v="1.9400000000000001E-2"/>
    <n v="3.2199999999999999E-2"/>
    <n v="26641319"/>
    <n v="589397"/>
    <s v="782.48M"/>
    <x v="83"/>
    <x v="4"/>
    <n v="782480000"/>
    <x v="83"/>
  </r>
  <r>
    <x v="88"/>
    <x v="87"/>
    <n v="2.7799999999999998E-2"/>
    <n v="8.9999999999999998E-4"/>
    <n v="6.2799999999999995E-2"/>
    <n v="0.16700000000000001"/>
    <n v="26426898"/>
    <n v="322128"/>
    <s v="949.22M"/>
    <x v="84"/>
    <x v="4"/>
    <n v="949220000"/>
    <x v="84"/>
  </r>
  <r>
    <x v="89"/>
    <x v="88"/>
    <n v="3.15E-2"/>
    <n v="8.5000000000000006E-3"/>
    <n v="8.0000000000000004E-4"/>
    <n v="1.06E-2"/>
    <n v="26363134"/>
    <n v="8041829"/>
    <s v="835.94M"/>
    <x v="85"/>
    <x v="4"/>
    <n v="835940000"/>
    <x v="85"/>
  </r>
  <r>
    <x v="90"/>
    <x v="89"/>
    <n v="4.7000000000000002E-3"/>
    <n v="7.4999999999999997E-3"/>
    <n v="5.0000000000000001E-4"/>
    <n v="5.4999999999999997E-3"/>
    <n v="26280302"/>
    <n v="10825738"/>
    <s v="5.53B"/>
    <x v="86"/>
    <x v="4"/>
    <n v="5530000000"/>
    <x v="86"/>
  </r>
  <r>
    <x v="91"/>
    <x v="90"/>
    <n v="3.3599999999999998E-2"/>
    <n v="2E-3"/>
    <n v="2.4E-2"/>
    <n v="0.48220000000000002"/>
    <n v="26260308"/>
    <n v="286759"/>
    <s v="782.05M"/>
    <x v="87"/>
    <x v="4"/>
    <n v="782050000"/>
    <x v="87"/>
  </r>
  <r>
    <x v="92"/>
    <x v="91"/>
    <n v="2.81E-2"/>
    <n v="1.2999999999999999E-2"/>
    <n v="4.2900000000000001E-2"/>
    <n v="4.5999999999999999E-2"/>
    <n v="26243930"/>
    <n v="4344986"/>
    <s v="935.14M"/>
    <x v="88"/>
    <x v="4"/>
    <n v="935140000"/>
    <x v="88"/>
  </r>
  <r>
    <x v="93"/>
    <x v="92"/>
    <n v="271.94"/>
    <n v="1.1000000000000001E-3"/>
    <n v="5.1999999999999998E-3"/>
    <n v="3.0999999999999999E-3"/>
    <n v="26108222"/>
    <n v="6611711"/>
    <s v="96K"/>
    <x v="89"/>
    <x v="0"/>
    <n v="96000"/>
    <x v="89"/>
  </r>
  <r>
    <x v="94"/>
    <x v="93"/>
    <n v="104.94"/>
    <n v="0"/>
    <n v="3.5999999999999999E-3"/>
    <n v="1.14E-2"/>
    <n v="25946613"/>
    <n v="321"/>
    <s v="247.25K"/>
    <x v="90"/>
    <x v="0"/>
    <n v="247250"/>
    <x v="90"/>
  </r>
  <r>
    <x v="95"/>
    <x v="94"/>
    <n v="3.3E-3"/>
    <n v="2.75E-2"/>
    <n v="3.09E-2"/>
    <n v="4.0599999999999997E-2"/>
    <n v="25833421"/>
    <n v="10960885"/>
    <s v="7.8B"/>
    <x v="91"/>
    <x v="4"/>
    <n v="7800000000"/>
    <x v="91"/>
  </r>
  <r>
    <x v="96"/>
    <x v="95"/>
    <n v="1.61E-2"/>
    <n v="6.9999999999999999E-4"/>
    <n v="2.7E-2"/>
    <n v="6.4600000000000005E-2"/>
    <n v="25804316"/>
    <n v="3393372"/>
    <s v="1.6B"/>
    <x v="92"/>
    <x v="4"/>
    <n v="1600000000"/>
    <x v="92"/>
  </r>
  <r>
    <x v="97"/>
    <x v="96"/>
    <n v="2.58E-2"/>
    <n v="8.9999999999999993E-3"/>
    <n v="2.1600000000000001E-2"/>
    <n v="7.9799999999999996E-2"/>
    <n v="25778254"/>
    <n v="9720641"/>
    <s v="999.99M"/>
    <x v="93"/>
    <x v="4"/>
    <n v="999990000"/>
    <x v="93"/>
  </r>
  <r>
    <x v="98"/>
    <x v="97"/>
    <n v="1.34E-2"/>
    <n v="2.5999999999999999E-3"/>
    <n v="0.01"/>
    <n v="4.4000000000000003E-3"/>
    <n v="25756339"/>
    <n v="4460612"/>
    <s v="1.92B"/>
    <x v="94"/>
    <x v="4"/>
    <n v="1920000000"/>
    <x v="94"/>
  </r>
  <r>
    <x v="99"/>
    <x v="98"/>
    <n v="0.11609999999999999"/>
    <n v="5.5999999999999999E-3"/>
    <n v="1.9300000000000001E-2"/>
    <n v="1.12E-2"/>
    <n v="21058075"/>
    <n v="3159701"/>
    <s v="181.34M"/>
    <x v="95"/>
    <x v="2"/>
    <n v="181340000"/>
    <x v="95"/>
  </r>
  <r>
    <x v="100"/>
    <x v="99"/>
    <n v="6.7500000000000004E-2"/>
    <n v="1.6199999999999999E-2"/>
    <n v="9.4999999999999998E-3"/>
    <n v="6.3399999999999998E-2"/>
    <n v="20936605"/>
    <n v="5916397"/>
    <s v="310.27M"/>
    <x v="22"/>
    <x v="2"/>
    <n v="310270000"/>
    <x v="22"/>
  </r>
  <r>
    <x v="101"/>
    <x v="100"/>
    <n v="2E-3"/>
    <n v="3.0499999999999999E-2"/>
    <n v="0.45660000000000001"/>
    <n v="0.51739999999999997"/>
    <n v="20846355"/>
    <n v="8017312"/>
    <s v="10.18B"/>
    <x v="96"/>
    <x v="4"/>
    <n v="10180000000"/>
    <x v="96"/>
  </r>
  <r>
    <x v="102"/>
    <x v="101"/>
    <n v="9.2299999999999993E-2"/>
    <n v="1.7100000000000001E-2"/>
    <n v="2.8899999999999999E-2"/>
    <n v="9.6799999999999997E-2"/>
    <n v="20798023"/>
    <n v="20776495"/>
    <s v="225.33M"/>
    <x v="97"/>
    <x v="2"/>
    <n v="225330000"/>
    <x v="97"/>
  </r>
  <r>
    <x v="103"/>
    <x v="102"/>
    <n v="2.0799999999999999E-2"/>
    <n v="4.8999999999999998E-3"/>
    <n v="1.9099999999999999E-2"/>
    <n v="2.1999999999999999E-2"/>
    <n v="20764179"/>
    <n v="4700921"/>
    <s v="999.99M"/>
    <x v="98"/>
    <x v="4"/>
    <n v="999990000"/>
    <x v="98"/>
  </r>
  <r>
    <x v="104"/>
    <x v="103"/>
    <n v="147.02000000000001"/>
    <n v="8.9999999999999998E-4"/>
    <n v="3.3E-3"/>
    <n v="3.2300000000000002E-2"/>
    <n v="20731060"/>
    <n v="971465"/>
    <s v="141K"/>
    <x v="12"/>
    <x v="0"/>
    <n v="141000"/>
    <x v="12"/>
  </r>
  <r>
    <x v="105"/>
    <x v="104"/>
    <n v="2.5000000000000001E-3"/>
    <n v="4.8999999999999998E-3"/>
    <n v="3.0999999999999999E-3"/>
    <n v="3.8199999999999998E-2"/>
    <n v="20552882"/>
    <n v="1003720"/>
    <s v="8.22B"/>
    <x v="99"/>
    <x v="4"/>
    <n v="8220000000.000001"/>
    <x v="99"/>
  </r>
  <r>
    <x v="106"/>
    <x v="105"/>
    <n v="6.1999999999999998E-3"/>
    <n v="2.3400000000000001E-2"/>
    <n v="3.4799999999999998E-2"/>
    <n v="2.87E-2"/>
    <n v="20517711"/>
    <n v="233881"/>
    <s v="3.29B"/>
    <x v="100"/>
    <x v="4"/>
    <n v="3290000000"/>
    <x v="100"/>
  </r>
  <r>
    <x v="107"/>
    <x v="106"/>
    <n v="4.1000000000000002E-2"/>
    <n v="2.63E-2"/>
    <n v="3.15E-2"/>
    <n v="9.3200000000000005E-2"/>
    <n v="20478225"/>
    <n v="431784"/>
    <s v="499.96M"/>
    <x v="101"/>
    <x v="4"/>
    <n v="499960000"/>
    <x v="101"/>
  </r>
  <r>
    <x v="108"/>
    <x v="107"/>
    <n v="89.06"/>
    <n v="0"/>
    <n v="5.9999999999999995E-4"/>
    <n v="3.6200000000000003E-2"/>
    <n v="20456617"/>
    <n v="306"/>
    <s v="229.69K"/>
    <x v="102"/>
    <x v="0"/>
    <n v="229690"/>
    <x v="102"/>
  </r>
  <r>
    <x v="109"/>
    <x v="108"/>
    <n v="1.6899999999999998E-2"/>
    <n v="0"/>
    <n v="6.9999999999999999E-4"/>
    <n v="1.1000000000000001E-3"/>
    <n v="20328178"/>
    <n v="6057"/>
    <s v="1.2B"/>
    <x v="103"/>
    <x v="4"/>
    <n v="1200000000"/>
    <x v="103"/>
  </r>
  <r>
    <x v="110"/>
    <x v="109"/>
    <n v="5.4600000000000003E-2"/>
    <n v="4.7000000000000002E-3"/>
    <n v="1.6899999999999998E-2"/>
    <n v="8.3999999999999995E-3"/>
    <n v="20291462"/>
    <n v="4412773"/>
    <s v="371.28M"/>
    <x v="104"/>
    <x v="2"/>
    <n v="371280000"/>
    <x v="104"/>
  </r>
  <r>
    <x v="111"/>
    <x v="110"/>
    <n v="2.0199999999999999E-2"/>
    <n v="2.0000000000000001E-4"/>
    <n v="1.46E-2"/>
    <n v="7.5800000000000006E-2"/>
    <n v="20182033"/>
    <n v="2122149"/>
    <s v="1B"/>
    <x v="105"/>
    <x v="4"/>
    <n v="1000000000"/>
    <x v="105"/>
  </r>
  <r>
    <x v="112"/>
    <x v="111"/>
    <n v="0.99909999999999999"/>
    <n v="2.9999999999999997E-4"/>
    <n v="0"/>
    <n v="2.9999999999999997E-4"/>
    <n v="20149882"/>
    <n v="25146643"/>
    <s v="20.16M"/>
    <x v="106"/>
    <x v="1"/>
    <n v="20160000"/>
    <x v="106"/>
  </r>
  <r>
    <x v="113"/>
    <x v="112"/>
    <n v="2.01E-2"/>
    <n v="1E-3"/>
    <n v="2.24E-2"/>
    <n v="0.20280000000000001"/>
    <n v="20106983"/>
    <n v="10809422"/>
    <s v="999.88M"/>
    <x v="107"/>
    <x v="4"/>
    <n v="999880000"/>
    <x v="107"/>
  </r>
  <r>
    <x v="114"/>
    <x v="113"/>
    <n v="2.35E-2"/>
    <n v="2.0999999999999999E-3"/>
    <n v="4.1000000000000003E-3"/>
    <n v="7.6E-3"/>
    <n v="15575230"/>
    <n v="3014853"/>
    <s v="662.38M"/>
    <x v="108"/>
    <x v="4"/>
    <n v="662380000"/>
    <x v="108"/>
  </r>
  <r>
    <x v="115"/>
    <x v="114"/>
    <n v="6.9999999999999999E-4"/>
    <n v="3.8999999999999998E-3"/>
    <n v="1.12E-2"/>
    <n v="8.8400000000000006E-2"/>
    <n v="15539251"/>
    <n v="1584069"/>
    <s v="22.49B"/>
    <x v="71"/>
    <x v="4"/>
    <n v="22490000000"/>
    <x v="71"/>
  </r>
  <r>
    <x v="116"/>
    <x v="115"/>
    <n v="1.37E-2"/>
    <n v="3.5999999999999997E-2"/>
    <n v="0.2344"/>
    <n v="0.31640000000000001"/>
    <n v="15512159"/>
    <n v="12060249"/>
    <s v="1.13B"/>
    <x v="109"/>
    <x v="4"/>
    <n v="1130000000"/>
    <x v="109"/>
  </r>
  <r>
    <x v="117"/>
    <x v="116"/>
    <n v="1.0200000000000001E-2"/>
    <n v="3.7000000000000002E-3"/>
    <n v="7.4000000000000003E-3"/>
    <n v="3.9800000000000002E-2"/>
    <n v="15439970"/>
    <n v="6780950"/>
    <s v="1.51B"/>
    <x v="110"/>
    <x v="4"/>
    <n v="1510000000"/>
    <x v="110"/>
  </r>
  <r>
    <x v="118"/>
    <x v="117"/>
    <n v="4.1000000000000003E-3"/>
    <n v="5.8999999999999999E-3"/>
    <n v="1.4E-3"/>
    <n v="1.5699999999999999E-2"/>
    <n v="15422560"/>
    <n v="808821"/>
    <s v="3.8B"/>
    <x v="111"/>
    <x v="4"/>
    <n v="3800000000"/>
    <x v="111"/>
  </r>
  <r>
    <x v="119"/>
    <x v="118"/>
    <n v="3.5400000000000001E-2"/>
    <n v="7.4999999999999997E-3"/>
    <n v="6.1000000000000004E-3"/>
    <n v="3.2599999999999997E-2"/>
    <n v="15396273"/>
    <n v="2802943"/>
    <s v="434.32M"/>
    <x v="99"/>
    <x v="4"/>
    <n v="434320000"/>
    <x v="99"/>
  </r>
  <r>
    <x v="120"/>
    <x v="119"/>
    <n v="0.15390000000000001"/>
    <n v="2.0000000000000001E-4"/>
    <n v="3.2399999999999998E-2"/>
    <n v="3.2599999999999997E-2"/>
    <n v="15395832"/>
    <n v="119"/>
    <s v="100M"/>
    <x v="112"/>
    <x v="2"/>
    <n v="100000000"/>
    <x v="112"/>
  </r>
  <r>
    <x v="121"/>
    <x v="120"/>
    <n v="6.3600000000000004E-2"/>
    <n v="1E-4"/>
    <n v="3.3799999999999997E-2"/>
    <n v="4.0899999999999999E-2"/>
    <n v="15356872"/>
    <n v="88670"/>
    <s v="241.34M"/>
    <x v="113"/>
    <x v="2"/>
    <n v="241340000"/>
    <x v="113"/>
  </r>
  <r>
    <x v="122"/>
    <x v="121"/>
    <n v="3.26"/>
    <n v="4.0000000000000002E-4"/>
    <n v="2.0999999999999999E-3"/>
    <n v="7.7000000000000002E-3"/>
    <n v="15345684"/>
    <n v="34281"/>
    <s v="4.7M"/>
    <x v="114"/>
    <x v="1"/>
    <n v="4700000"/>
    <x v="114"/>
  </r>
  <r>
    <x v="123"/>
    <x v="122"/>
    <n v="3.81"/>
    <n v="1.5E-3"/>
    <n v="1.3100000000000001E-2"/>
    <n v="3.5000000000000003E-2"/>
    <n v="15293248"/>
    <n v="3932877"/>
    <s v="4M"/>
    <x v="115"/>
    <x v="1"/>
    <n v="4000000"/>
    <x v="115"/>
  </r>
  <r>
    <x v="124"/>
    <x v="123"/>
    <n v="0.82499999999999996"/>
    <n v="1.9E-3"/>
    <n v="7.6100000000000001E-2"/>
    <n v="5.4000000000000003E-3"/>
    <n v="15289686"/>
    <n v="456715"/>
    <s v="18.53M"/>
    <x v="116"/>
    <x v="1"/>
    <n v="18530000"/>
    <x v="116"/>
  </r>
  <r>
    <x v="125"/>
    <x v="124"/>
    <n v="1.5299999999999999E-2"/>
    <n v="7.6E-3"/>
    <n v="1.4999999999999999E-2"/>
    <n v="0.2054"/>
    <n v="15283025"/>
    <n v="4735102"/>
    <s v="999.99M"/>
    <x v="117"/>
    <x v="4"/>
    <n v="999990000"/>
    <x v="117"/>
  </r>
  <r>
    <x v="126"/>
    <x v="125"/>
    <n v="2.7400000000000001E-2"/>
    <n v="4.1999999999999997E-3"/>
    <n v="7.6E-3"/>
    <n v="2.1600000000000001E-2"/>
    <n v="15217745"/>
    <n v="1857483"/>
    <s v="555.54M"/>
    <x v="118"/>
    <x v="4"/>
    <n v="555540000"/>
    <x v="118"/>
  </r>
  <r>
    <x v="127"/>
    <x v="126"/>
    <n v="3.4200000000000001E-2"/>
    <n v="6.9999999999999999E-4"/>
    <n v="4.7000000000000002E-3"/>
    <n v="4.7999999999999996E-3"/>
    <n v="15171135"/>
    <n v="90422"/>
    <s v="443.13M"/>
    <x v="114"/>
    <x v="4"/>
    <n v="443130000"/>
    <x v="114"/>
  </r>
  <r>
    <x v="128"/>
    <x v="127"/>
    <n v="0.10879999999999999"/>
    <n v="2.1299999999999999E-2"/>
    <n v="0.14660000000000001"/>
    <n v="0.74350000000000005"/>
    <n v="15148774"/>
    <n v="6877810"/>
    <s v="139.22M"/>
    <x v="119"/>
    <x v="2"/>
    <n v="139220000"/>
    <x v="119"/>
  </r>
  <r>
    <x v="129"/>
    <x v="128"/>
    <n v="1.6299999999999999E-2"/>
    <n v="4.99E-2"/>
    <n v="0.19120000000000001"/>
    <n v="0.1023"/>
    <n v="11606060"/>
    <n v="64934446"/>
    <s v="710.6M"/>
    <x v="120"/>
    <x v="4"/>
    <n v="710600000"/>
    <x v="120"/>
  </r>
  <r>
    <x v="130"/>
    <x v="129"/>
    <n v="1.6000000000000001E-3"/>
    <n v="2.8999999999999998E-3"/>
    <n v="2.8500000000000001E-2"/>
    <n v="3.0499999999999999E-2"/>
    <n v="11565244"/>
    <n v="653863"/>
    <s v="7.2B"/>
    <x v="121"/>
    <x v="4"/>
    <n v="7200000000"/>
    <x v="121"/>
  </r>
  <r>
    <x v="131"/>
    <x v="130"/>
    <n v="0.99839999999999995"/>
    <n v="0"/>
    <n v="2.9999999999999997E-4"/>
    <n v="2.0000000000000001E-4"/>
    <n v="11544749"/>
    <n v="229284"/>
    <s v="11.56M"/>
    <x v="35"/>
    <x v="1"/>
    <n v="11560000"/>
    <x v="35"/>
  </r>
  <r>
    <x v="132"/>
    <x v="131"/>
    <n v="3.0300000000000001E-2"/>
    <n v="2.8E-3"/>
    <n v="1.21E-2"/>
    <n v="1.77E-2"/>
    <n v="11542476"/>
    <n v="7416063"/>
    <s v="381.03M"/>
    <x v="122"/>
    <x v="4"/>
    <n v="381030000"/>
    <x v="122"/>
  </r>
  <r>
    <x v="133"/>
    <x v="132"/>
    <n v="1.32"/>
    <n v="1E-3"/>
    <n v="1.24E-2"/>
    <n v="5.7099999999999998E-2"/>
    <n v="11448567"/>
    <n v="145406"/>
    <s v="8.61M"/>
    <x v="123"/>
    <x v="1"/>
    <n v="8610000"/>
    <x v="123"/>
  </r>
  <r>
    <x v="134"/>
    <x v="133"/>
    <n v="1.23E-2"/>
    <n v="3.2000000000000002E-3"/>
    <n v="5.1000000000000004E-3"/>
    <n v="1.84E-2"/>
    <n v="11419144"/>
    <n v="62158"/>
    <s v="930.47M"/>
    <x v="8"/>
    <x v="4"/>
    <n v="930470000"/>
    <x v="8"/>
  </r>
  <r>
    <x v="135"/>
    <x v="134"/>
    <n v="1.14E-2"/>
    <n v="5.7999999999999996E-3"/>
    <n v="1.9400000000000001E-2"/>
    <n v="0.1183"/>
    <n v="11412102"/>
    <n v="4874824"/>
    <s v="999.94M"/>
    <x v="124"/>
    <x v="4"/>
    <n v="999940000"/>
    <x v="124"/>
  </r>
  <r>
    <x v="136"/>
    <x v="135"/>
    <n v="0.75660000000000005"/>
    <n v="1.4999999999999999E-2"/>
    <n v="3.1699999999999999E-2"/>
    <n v="9.3399999999999997E-2"/>
    <n v="11410607"/>
    <n v="2711114"/>
    <s v="15.07M"/>
    <x v="125"/>
    <x v="1"/>
    <n v="15070000"/>
    <x v="125"/>
  </r>
  <r>
    <x v="137"/>
    <x v="136"/>
    <n v="5.8999999999999999E-3"/>
    <n v="4.1000000000000003E-3"/>
    <n v="3.6900000000000002E-2"/>
    <n v="5.1999999999999998E-3"/>
    <n v="11379970"/>
    <n v="2750712"/>
    <s v="1.94B"/>
    <x v="99"/>
    <x v="4"/>
    <n v="1940000000"/>
    <x v="99"/>
  </r>
  <r>
    <x v="138"/>
    <x v="137"/>
    <n v="5.3199999999999997E-2"/>
    <n v="8.2000000000000007E-3"/>
    <n v="1.0999999999999999E-2"/>
    <n v="0"/>
    <n v="11334127"/>
    <n v="2079172"/>
    <s v="213.23M"/>
    <x v="126"/>
    <x v="2"/>
    <n v="213230000"/>
    <x v="126"/>
  </r>
  <r>
    <x v="139"/>
    <x v="138"/>
    <n v="1E-4"/>
    <n v="1.11E-2"/>
    <n v="2.1999999999999999E-2"/>
    <n v="8.4500000000000006E-2"/>
    <n v="11320242"/>
    <n v="71290"/>
    <s v="89.28B"/>
    <x v="127"/>
    <x v="4"/>
    <n v="89280000000"/>
    <x v="127"/>
  </r>
  <r>
    <x v="140"/>
    <x v="139"/>
    <n v="1.2999999999999999E-3"/>
    <n v="2.9999999999999997E-4"/>
    <n v="2E-3"/>
    <n v="3.3999999999999998E-3"/>
    <n v="9128152"/>
    <n v="2789288"/>
    <s v="6.88B"/>
    <x v="128"/>
    <x v="4"/>
    <n v="6880000000"/>
    <x v="128"/>
  </r>
  <r>
    <x v="141"/>
    <x v="140"/>
    <n v="3.73E-2"/>
    <n v="1.0800000000000001E-2"/>
    <n v="2.35E-2"/>
    <n v="0.1154"/>
    <n v="9123978"/>
    <n v="4544168"/>
    <s v="244.63M"/>
    <x v="129"/>
    <x v="4"/>
    <n v="244630000"/>
    <x v="129"/>
  </r>
  <r>
    <x v="142"/>
    <x v="141"/>
    <n v="1.15E-2"/>
    <n v="2E-3"/>
    <n v="7.0000000000000001E-3"/>
    <n v="1.1000000000000001E-3"/>
    <n v="9104961"/>
    <n v="7979869"/>
    <s v="790.42M"/>
    <x v="130"/>
    <x v="4"/>
    <n v="790420000"/>
    <x v="130"/>
  </r>
  <r>
    <x v="143"/>
    <x v="142"/>
    <n v="0.51870000000000005"/>
    <n v="1E-4"/>
    <n v="1.5E-3"/>
    <n v="5.4300000000000001E-2"/>
    <n v="9085366"/>
    <n v="1119"/>
    <s v="17.51M"/>
    <x v="131"/>
    <x v="1"/>
    <n v="17510000"/>
    <x v="131"/>
  </r>
  <r>
    <x v="144"/>
    <x v="143"/>
    <n v="2.3900000000000001E-2"/>
    <n v="7.7999999999999996E-3"/>
    <n v="2.6700000000000002E-2"/>
    <n v="0.36880000000000002"/>
    <n v="8983218"/>
    <n v="10177863"/>
    <s v="376.02M"/>
    <x v="132"/>
    <x v="4"/>
    <n v="376020000"/>
    <x v="132"/>
  </r>
  <r>
    <x v="145"/>
    <x v="144"/>
    <n v="8.3799999999999999E-2"/>
    <n v="8.0000000000000004E-4"/>
    <n v="2.35E-2"/>
    <n v="0.12"/>
    <n v="8968173"/>
    <n v="113077"/>
    <s v="107.05M"/>
    <x v="133"/>
    <x v="2"/>
    <n v="107050000"/>
    <x v="133"/>
  </r>
  <r>
    <x v="146"/>
    <x v="145"/>
    <n v="6.13E-2"/>
    <n v="3.44E-2"/>
    <n v="0.25280000000000002"/>
    <n v="5.7500000000000002E-2"/>
    <n v="8938885"/>
    <n v="480521"/>
    <s v="145.8M"/>
    <x v="134"/>
    <x v="2"/>
    <n v="145800000"/>
    <x v="134"/>
  </r>
  <r>
    <x v="147"/>
    <x v="146"/>
    <n v="1.2E-2"/>
    <n v="1.12E-2"/>
    <n v="2.0500000000000001E-2"/>
    <n v="0.313"/>
    <n v="8933436"/>
    <n v="6615837"/>
    <s v="743.51M"/>
    <x v="134"/>
    <x v="4"/>
    <n v="743510000"/>
    <x v="134"/>
  </r>
  <r>
    <x v="148"/>
    <x v="147"/>
    <n v="1.55E-2"/>
    <n v="7.9000000000000008E-3"/>
    <n v="1.9E-2"/>
    <n v="6.9900000000000004E-2"/>
    <n v="8927644"/>
    <n v="6365302"/>
    <s v="576.13M"/>
    <x v="135"/>
    <x v="4"/>
    <n v="576130000"/>
    <x v="135"/>
  </r>
  <r>
    <x v="149"/>
    <x v="148"/>
    <n v="1.8E-3"/>
    <n v="4.7000000000000002E-3"/>
    <n v="4.5999999999999999E-3"/>
    <n v="1.9599999999999999E-2"/>
    <n v="8876870"/>
    <n v="745887"/>
    <s v="4.81B"/>
    <x v="136"/>
    <x v="4"/>
    <n v="4810000000"/>
    <x v="136"/>
  </r>
  <r>
    <x v="150"/>
    <x v="149"/>
    <n v="11.42"/>
    <n v="1.4E-3"/>
    <n v="9.7999999999999997E-3"/>
    <n v="2.9100000000000001E-2"/>
    <n v="8833591"/>
    <n v="3418"/>
    <s v="772.89K"/>
    <x v="137"/>
    <x v="3"/>
    <n v="772890"/>
    <x v="137"/>
  </r>
  <r>
    <x v="151"/>
    <x v="150"/>
    <n v="0.2898"/>
    <n v="2E-3"/>
    <n v="4.5999999999999999E-3"/>
    <n v="1.0500000000000001E-2"/>
    <n v="8749697"/>
    <n v="337"/>
    <s v="30.18M"/>
    <x v="138"/>
    <x v="2"/>
    <n v="30180000"/>
    <x v="138"/>
  </r>
  <r>
    <x v="152"/>
    <x v="151"/>
    <n v="0.13880000000000001"/>
    <n v="5.9999999999999995E-4"/>
    <n v="1.9E-3"/>
    <n v="6.7400000000000002E-2"/>
    <n v="8740202"/>
    <n v="182739"/>
    <s v="62.95M"/>
    <x v="139"/>
    <x v="2"/>
    <n v="62950000"/>
    <x v="139"/>
  </r>
  <r>
    <x v="153"/>
    <x v="152"/>
    <n v="3.0000000000000001E-3"/>
    <n v="9.4000000000000004E-3"/>
    <n v="9.2200000000000004E-2"/>
    <n v="0.1426"/>
    <n v="8711298"/>
    <n v="80581214"/>
    <s v="2.9B"/>
    <x v="140"/>
    <x v="4"/>
    <n v="2900000000"/>
    <x v="140"/>
  </r>
  <r>
    <x v="154"/>
    <x v="153"/>
    <n v="2.9999999999999997E-4"/>
    <n v="3.1899999999999998E-2"/>
    <n v="7.1999999999999998E-3"/>
    <n v="0.37190000000000001"/>
    <n v="7039426"/>
    <n v="1936497"/>
    <s v="22.79B"/>
    <x v="141"/>
    <x v="4"/>
    <n v="22790000000"/>
    <x v="141"/>
  </r>
  <r>
    <x v="155"/>
    <x v="154"/>
    <n v="2.9999999999999997E-4"/>
    <n v="3.8E-3"/>
    <n v="4.9700000000000001E-2"/>
    <n v="7.1300000000000002E-2"/>
    <n v="7024062"/>
    <n v="151392"/>
    <s v="21B"/>
    <x v="142"/>
    <x v="4"/>
    <n v="21000000000"/>
    <x v="142"/>
  </r>
  <r>
    <x v="156"/>
    <x v="155"/>
    <n v="3.6400000000000002E-2"/>
    <n v="2.9999999999999997E-4"/>
    <n v="1.6000000000000001E-3"/>
    <n v="0.27579999999999999"/>
    <n v="7017099"/>
    <n v="0"/>
    <s v="193M"/>
    <x v="143"/>
    <x v="4"/>
    <n v="193000000"/>
    <x v="143"/>
  </r>
  <r>
    <x v="157"/>
    <x v="156"/>
    <n v="2.9100000000000001E-2"/>
    <n v="1.6999999999999999E-3"/>
    <n v="1.34E-2"/>
    <n v="8.0000000000000002E-3"/>
    <n v="6980232"/>
    <n v="651250"/>
    <s v="239.46M"/>
    <x v="144"/>
    <x v="4"/>
    <n v="239460000"/>
    <x v="144"/>
  </r>
  <r>
    <x v="158"/>
    <x v="157"/>
    <n v="7.7999999999999996E-3"/>
    <n v="2.9999999999999997E-4"/>
    <n v="4.4999999999999997E-3"/>
    <n v="4.5600000000000002E-2"/>
    <n v="6988499"/>
    <n v="209894"/>
    <s v="899.98M"/>
    <x v="145"/>
    <x v="4"/>
    <n v="899980000"/>
    <x v="145"/>
  </r>
  <r>
    <x v="159"/>
    <x v="158"/>
    <n v="3.8399999999999997E-2"/>
    <n v="1E-4"/>
    <n v="4.4699999999999997E-2"/>
    <n v="0.42030000000000001"/>
    <n v="6971131"/>
    <n v="0"/>
    <s v="181.75M"/>
    <x v="146"/>
    <x v="4"/>
    <n v="181750000"/>
    <x v="146"/>
  </r>
  <r>
    <x v="160"/>
    <x v="159"/>
    <n v="6.8999999999999999E-3"/>
    <n v="2.8400000000000002E-2"/>
    <n v="0.1206"/>
    <n v="2.4005999999999998"/>
    <n v="6935028"/>
    <n v="7838229"/>
    <s v="1B"/>
    <x v="147"/>
    <x v="4"/>
    <n v="1000000000"/>
    <x v="147"/>
  </r>
  <r>
    <x v="161"/>
    <x v="160"/>
    <n v="5.4800000000000001E-2"/>
    <n v="3.3999999999999998E-3"/>
    <n v="1.47E-2"/>
    <n v="4.0800000000000003E-2"/>
    <n v="6920914"/>
    <n v="591729"/>
    <s v="126.28M"/>
    <x v="148"/>
    <x v="2"/>
    <n v="126280000"/>
    <x v="148"/>
  </r>
  <r>
    <x v="162"/>
    <x v="161"/>
    <n v="4.0000000000000002E-4"/>
    <n v="2.0000000000000001E-4"/>
    <n v="1.0200000000000001E-2"/>
    <n v="0.223"/>
    <n v="6903033"/>
    <n v="98930"/>
    <s v="18.4B"/>
    <x v="149"/>
    <x v="4"/>
    <n v="18400000000"/>
    <x v="149"/>
  </r>
  <r>
    <x v="163"/>
    <x v="162"/>
    <n v="1.2500000000000001E-2"/>
    <n v="2.0999999999999999E-3"/>
    <n v="3.0700000000000002E-2"/>
    <n v="5.7999999999999996E-3"/>
    <n v="6903904"/>
    <n v="7469390"/>
    <s v="550.32M"/>
    <x v="150"/>
    <x v="4"/>
    <n v="550320000"/>
    <x v="150"/>
  </r>
  <r>
    <x v="164"/>
    <x v="163"/>
    <n v="0"/>
    <n v="7.0000000000000001E-3"/>
    <n v="2.7000000000000001E-3"/>
    <n v="2.1299999999999999E-2"/>
    <n v="6765129"/>
    <n v="79822"/>
    <s v="411.29B"/>
    <x v="151"/>
    <x v="4"/>
    <n v="411290000000"/>
    <x v="151"/>
  </r>
  <r>
    <x v="165"/>
    <x v="164"/>
    <n v="6.5799999999999997E-2"/>
    <n v="5.4000000000000003E-3"/>
    <n v="4.4000000000000003E-3"/>
    <n v="0.15"/>
    <n v="6754774"/>
    <n v="2138810"/>
    <s v="102.61M"/>
    <x v="152"/>
    <x v="2"/>
    <n v="102610000"/>
    <x v="152"/>
  </r>
  <r>
    <x v="166"/>
    <x v="165"/>
    <n v="0.38569999999999999"/>
    <n v="9.1000000000000004E-3"/>
    <n v="2.1700000000000001E-2"/>
    <n v="2.18E-2"/>
    <n v="5371167"/>
    <n v="48474"/>
    <s v="13.92M"/>
    <x v="153"/>
    <x v="2"/>
    <n v="13920000"/>
    <x v="153"/>
  </r>
  <r>
    <x v="167"/>
    <x v="166"/>
    <n v="2.7000000000000001E-3"/>
    <n v="1.4800000000000001E-2"/>
    <n v="5.5399999999999998E-2"/>
    <n v="0.33229999999999998"/>
    <n v="5369578"/>
    <n v="15957"/>
    <s v="1.98B"/>
    <x v="154"/>
    <x v="4"/>
    <n v="1980000000"/>
    <x v="154"/>
  </r>
  <r>
    <x v="168"/>
    <x v="167"/>
    <n v="1.45"/>
    <n v="1.2999999999999999E-3"/>
    <n v="1E-4"/>
    <n v="4.3200000000000002E-2"/>
    <n v="5361551"/>
    <n v="49697"/>
    <s v="3.68M"/>
    <x v="155"/>
    <x v="1"/>
    <n v="3680000"/>
    <x v="155"/>
  </r>
  <r>
    <x v="169"/>
    <x v="168"/>
    <n v="1.8200000000000001E-2"/>
    <n v="3.5999999999999999E-3"/>
    <n v="2.7000000000000001E-3"/>
    <n v="7.3400000000000007E-2"/>
    <n v="5341252"/>
    <n v="127522"/>
    <s v="293.19M"/>
    <x v="156"/>
    <x v="4"/>
    <n v="293190000"/>
    <x v="156"/>
  </r>
  <r>
    <x v="170"/>
    <x v="169"/>
    <n v="1.38"/>
    <n v="8.3999999999999995E-3"/>
    <n v="0.113"/>
    <n v="0.33250000000000002"/>
    <n v="5334624"/>
    <n v="2198"/>
    <s v="3.86M"/>
    <x v="157"/>
    <x v="1"/>
    <n v="3860000"/>
    <x v="157"/>
  </r>
  <r>
    <x v="171"/>
    <x v="170"/>
    <n v="1.8599999999999998E-2"/>
    <n v="2.0400000000000001E-2"/>
    <n v="0.2611"/>
    <n v="0.16850000000000001"/>
    <n v="5318015"/>
    <n v="9229876"/>
    <s v="285M"/>
    <x v="158"/>
    <x v="4"/>
    <n v="285000000"/>
    <x v="158"/>
  </r>
  <r>
    <x v="172"/>
    <x v="171"/>
    <n v="1.9E-3"/>
    <n v="2.76E-2"/>
    <n v="0.16339999999999999"/>
    <n v="0.20019999999999999"/>
    <n v="5338978"/>
    <n v="12306576"/>
    <s v="2.76B"/>
    <x v="159"/>
    <x v="4"/>
    <n v="2760000000"/>
    <x v="159"/>
  </r>
  <r>
    <x v="173"/>
    <x v="172"/>
    <n v="3.1099999999999999E-2"/>
    <n v="5.9999999999999995E-4"/>
    <n v="2.75E-2"/>
    <n v="9.9000000000000008E-3"/>
    <n v="5307159"/>
    <n v="47780"/>
    <s v="170.46M"/>
    <x v="160"/>
    <x v="4"/>
    <n v="170460000"/>
    <x v="160"/>
  </r>
  <r>
    <x v="174"/>
    <x v="142"/>
    <n v="2.81"/>
    <n v="8.0000000000000002E-3"/>
    <n v="2E-3"/>
    <n v="2.7199999999999998E-2"/>
    <n v="5344497"/>
    <n v="576860"/>
    <s v="1.9M"/>
    <x v="161"/>
    <x v="1"/>
    <n v="1900000"/>
    <x v="161"/>
  </r>
  <r>
    <x v="175"/>
    <x v="173"/>
    <n v="8.0999999999999996E-3"/>
    <n v="1E-4"/>
    <n v="1.0800000000000001E-2"/>
    <n v="0.10829999999999999"/>
    <n v="5285190"/>
    <n v="317140"/>
    <s v="649.96M"/>
    <x v="162"/>
    <x v="4"/>
    <n v="649960000"/>
    <x v="162"/>
  </r>
  <r>
    <x v="176"/>
    <x v="174"/>
    <n v="2.98E-2"/>
    <n v="4.3E-3"/>
    <n v="1.2999999999999999E-3"/>
    <n v="1.5699999999999999E-2"/>
    <n v="5275322"/>
    <n v="322826"/>
    <s v="177M"/>
    <x v="163"/>
    <x v="4"/>
    <n v="177000000"/>
    <x v="163"/>
  </r>
  <r>
    <x v="177"/>
    <x v="175"/>
    <n v="1.1999999999999999E-3"/>
    <n v="1.4800000000000001E-2"/>
    <n v="2.0000000000000001E-4"/>
    <n v="1.7000000000000001E-2"/>
    <n v="5258248"/>
    <n v="600203"/>
    <s v="4.51B"/>
    <x v="164"/>
    <x v="4"/>
    <n v="4510000000"/>
    <x v="164"/>
  </r>
  <r>
    <x v="178"/>
    <x v="176"/>
    <n v="5.3E-3"/>
    <n v="5.0000000000000001E-4"/>
    <n v="4.5999999999999999E-3"/>
    <n v="3.1199999999999999E-2"/>
    <n v="5236697"/>
    <n v="292895"/>
    <s v="993.89M"/>
    <x v="165"/>
    <x v="4"/>
    <n v="993890000"/>
    <x v="165"/>
  </r>
  <r>
    <x v="179"/>
    <x v="177"/>
    <n v="6.85"/>
    <n v="3.5999999999999999E-3"/>
    <n v="8.4599999999999995E-2"/>
    <n v="0.124"/>
    <n v="3989390"/>
    <n v="92583"/>
    <s v="581.87K"/>
    <x v="166"/>
    <x v="3"/>
    <n v="581870"/>
    <x v="166"/>
  </r>
  <r>
    <x v="180"/>
    <x v="178"/>
    <n v="2.6499999999999999E-2"/>
    <n v="0"/>
    <n v="6.3E-2"/>
    <n v="3.0200000000000001E-2"/>
    <n v="3973979"/>
    <n v="0.80549999999999999"/>
    <s v="149.99M"/>
    <x v="167"/>
    <x v="4"/>
    <n v="149990000"/>
    <x v="167"/>
  </r>
  <r>
    <x v="181"/>
    <x v="179"/>
    <n v="0"/>
    <n v="3.3E-3"/>
    <n v="3.2000000000000001E-2"/>
    <n v="0.5171"/>
    <n v="3969203"/>
    <n v="629530"/>
    <s v="86.18B"/>
    <x v="168"/>
    <x v="4"/>
    <n v="86180000000"/>
    <x v="168"/>
  </r>
  <r>
    <x v="182"/>
    <x v="180"/>
    <n v="1.9300000000000001E-2"/>
    <n v="4.7999999999999996E-3"/>
    <n v="1E-3"/>
    <n v="8.6999999999999994E-3"/>
    <n v="3954397"/>
    <n v="445039"/>
    <s v="204.83M"/>
    <x v="169"/>
    <x v="4"/>
    <n v="204830000"/>
    <x v="169"/>
  </r>
  <r>
    <x v="183"/>
    <x v="181"/>
    <n v="5.9999999999999995E-4"/>
    <n v="8.3000000000000001E-3"/>
    <n v="9.7000000000000003E-3"/>
    <n v="2.92E-2"/>
    <n v="3948510"/>
    <n v="1118494"/>
    <s v="6.5B"/>
    <x v="170"/>
    <x v="4"/>
    <n v="6500000000"/>
    <x v="170"/>
  </r>
  <r>
    <x v="184"/>
    <x v="182"/>
    <n v="6.7000000000000002E-3"/>
    <n v="4.7000000000000002E-3"/>
    <n v="3.39E-2"/>
    <n v="0.15379999999999999"/>
    <n v="3913001"/>
    <n v="719552"/>
    <s v="585.14M"/>
    <x v="171"/>
    <x v="4"/>
    <n v="585140000"/>
    <x v="171"/>
  </r>
  <r>
    <x v="185"/>
    <x v="183"/>
    <n v="1.1599999999999999"/>
    <n v="5.9999999999999995E-4"/>
    <n v="3.5000000000000001E-3"/>
    <n v="2.5000000000000001E-3"/>
    <n v="3912186"/>
    <n v="15502397"/>
    <s v="3.35M"/>
    <x v="172"/>
    <x v="1"/>
    <n v="3350000"/>
    <x v="172"/>
  </r>
  <r>
    <x v="186"/>
    <x v="184"/>
    <n v="0"/>
    <n v="8.9999999999999998E-4"/>
    <n v="8.6999999999999994E-3"/>
    <n v="4.3400000000000001E-2"/>
    <n v="3901883"/>
    <n v="1483"/>
    <s v="119.64B"/>
    <x v="173"/>
    <x v="4"/>
    <n v="119640000000"/>
    <x v="173"/>
  </r>
  <r>
    <x v="187"/>
    <x v="185"/>
    <n v="0.1389"/>
    <n v="5.7999999999999996E-3"/>
    <n v="1.46E-2"/>
    <n v="0.28549999999999998"/>
    <n v="3897022"/>
    <n v="136765"/>
    <s v="28.04M"/>
    <x v="174"/>
    <x v="2"/>
    <n v="28040000"/>
    <x v="174"/>
  </r>
  <r>
    <x v="188"/>
    <x v="186"/>
    <n v="6.8999999999999999E-3"/>
    <n v="2.0000000000000001E-4"/>
    <n v="6.4999999999999997E-3"/>
    <n v="0.40179999999999999"/>
    <n v="3895364"/>
    <n v="1959808"/>
    <s v="566.34M"/>
    <x v="175"/>
    <x v="4"/>
    <n v="566340000"/>
    <x v="175"/>
  </r>
  <r>
    <x v="189"/>
    <x v="187"/>
    <n v="8.0000000000000002E-3"/>
    <n v="1.4E-3"/>
    <n v="1.1000000000000001E-3"/>
    <n v="5.8900000000000001E-2"/>
    <n v="3875951"/>
    <n v="250968"/>
    <s v="486.2M"/>
    <x v="176"/>
    <x v="4"/>
    <n v="486200000"/>
    <x v="176"/>
  </r>
  <r>
    <x v="190"/>
    <x v="188"/>
    <n v="1E-3"/>
    <n v="0"/>
    <n v="2.53E-2"/>
    <n v="4.3099999999999999E-2"/>
    <n v="3874379"/>
    <n v="71326"/>
    <s v="3.71B"/>
    <x v="177"/>
    <x v="4"/>
    <n v="3710000000"/>
    <x v="177"/>
  </r>
  <r>
    <x v="191"/>
    <x v="189"/>
    <n v="3.0999999999999999E-3"/>
    <n v="1.26E-2"/>
    <n v="4.9700000000000001E-2"/>
    <n v="0.13930000000000001"/>
    <n v="3055921"/>
    <n v="30021"/>
    <s v="992.87M"/>
    <x v="178"/>
    <x v="4"/>
    <n v="992870000"/>
    <x v="178"/>
  </r>
  <r>
    <x v="192"/>
    <x v="190"/>
    <n v="3.0000000000000001E-3"/>
    <n v="1.1299999999999999E-2"/>
    <n v="3.7900000000000003E-2"/>
    <n v="2.64E-2"/>
    <n v="3033512"/>
    <n v="1377465"/>
    <s v="1B"/>
    <x v="179"/>
    <x v="4"/>
    <n v="1000000000"/>
    <x v="179"/>
  </r>
  <r>
    <x v="193"/>
    <x v="191"/>
    <n v="3.0000000000000001E-3"/>
    <n v="1E-3"/>
    <n v="2.1999999999999999E-2"/>
    <n v="0.13070000000000001"/>
    <n v="3031864"/>
    <n v="201319"/>
    <s v="995.21M"/>
    <x v="180"/>
    <x v="4"/>
    <n v="995210000"/>
    <x v="180"/>
  </r>
  <r>
    <x v="194"/>
    <x v="192"/>
    <n v="2.9999999999999997E-4"/>
    <n v="4.6899999999999997E-2"/>
    <n v="0.13539999999999999"/>
    <n v="0.20619999999999999"/>
    <n v="3029471"/>
    <n v="14801"/>
    <s v="10B"/>
    <x v="181"/>
    <x v="4"/>
    <n v="10000000000"/>
    <x v="181"/>
  </r>
  <r>
    <x v="195"/>
    <x v="193"/>
    <n v="8.3999999999999995E-3"/>
    <n v="1.9E-3"/>
    <n v="8.8999999999999999E-3"/>
    <n v="2.9100000000000001E-2"/>
    <n v="3021696"/>
    <n v="300326"/>
    <s v="360.56M"/>
    <x v="73"/>
    <x v="4"/>
    <n v="360560000"/>
    <x v="73"/>
  </r>
  <r>
    <x v="196"/>
    <x v="194"/>
    <n v="1.1000000000000001E-3"/>
    <n v="1E-3"/>
    <n v="8.9999999999999998E-4"/>
    <n v="1.2999999999999999E-3"/>
    <n v="2991745"/>
    <n v="119464"/>
    <s v="2.68B"/>
    <x v="182"/>
    <x v="4"/>
    <n v="2680000000"/>
    <x v="182"/>
  </r>
  <r>
    <x v="197"/>
    <x v="195"/>
    <n v="1.5299999999999999E-2"/>
    <n v="6.9999999999999999E-4"/>
    <n v="2.76E-2"/>
    <n v="0.31069999999999998"/>
    <n v="2989467"/>
    <n v="6138"/>
    <s v="195.63M"/>
    <x v="183"/>
    <x v="4"/>
    <n v="195630000"/>
    <x v="183"/>
  </r>
  <r>
    <x v="198"/>
    <x v="196"/>
    <n v="8.3099999999999993E-2"/>
    <n v="6.0000000000000001E-3"/>
    <n v="5.6000000000000001E-2"/>
    <n v="7.7299999999999994E-2"/>
    <n v="2988465"/>
    <n v="131593"/>
    <s v="975.81T"/>
    <x v="184"/>
    <x v="2"/>
    <n v="975810000000000"/>
    <x v="184"/>
  </r>
  <r>
    <x v="199"/>
    <x v="197"/>
    <n v="0.1239"/>
    <n v="2E-3"/>
    <n v="4.6100000000000002E-2"/>
    <n v="0.14499999999999999"/>
    <n v="2962669"/>
    <n v="1782"/>
    <s v="23.89M"/>
    <x v="185"/>
    <x v="2"/>
    <n v="23890000"/>
    <x v="185"/>
  </r>
  <r>
    <x v="200"/>
    <x v="198"/>
    <n v="6.9999999999999999E-4"/>
    <n v="8.0000000000000004E-4"/>
    <n v="1.9E-3"/>
    <n v="2.0199999999999999E-2"/>
    <n v="2951486"/>
    <n v="104434"/>
    <s v="4.02B"/>
    <x v="186"/>
    <x v="4"/>
    <n v="4019999999.9999995"/>
    <x v="186"/>
  </r>
  <r>
    <x v="201"/>
    <x v="199"/>
    <n v="5.3100000000000001E-2"/>
    <n v="7.3000000000000001E-3"/>
    <n v="4.99E-2"/>
    <n v="0.1169"/>
    <n v="2949896"/>
    <n v="2969"/>
    <s v="948.42B"/>
    <x v="187"/>
    <x v="2"/>
    <n v="948420000000"/>
    <x v="187"/>
  </r>
  <r>
    <x v="202"/>
    <x v="200"/>
    <n v="3.7000000000000002E-3"/>
    <n v="1E-3"/>
    <n v="3.2599999999999997E-2"/>
    <n v="0.13039999999999999"/>
    <n v="2945952"/>
    <n v="491"/>
    <s v="792.55M"/>
    <x v="188"/>
    <x v="4"/>
    <n v="792550000"/>
    <x v="188"/>
  </r>
  <r>
    <x v="203"/>
    <x v="201"/>
    <n v="0.151"/>
    <n v="1.1000000000000001E-3"/>
    <n v="1.2200000000000001E-2"/>
    <n v="1.4999999999999999E-2"/>
    <n v="2944123"/>
    <n v="254009"/>
    <s v="19.48M"/>
    <x v="189"/>
    <x v="2"/>
    <n v="19480000"/>
    <x v="189"/>
  </r>
  <r>
    <x v="204"/>
    <x v="202"/>
    <n v="6.2100000000000002E-2"/>
    <n v="3.3999999999999998E-3"/>
    <n v="1.04E-2"/>
    <n v="4.1700000000000001E-2"/>
    <n v="2451641"/>
    <n v="187217"/>
    <s v="11.56T"/>
    <x v="190"/>
    <x v="2"/>
    <n v="11560000000000"/>
    <x v="190"/>
  </r>
  <r>
    <x v="205"/>
    <x v="203"/>
    <n v="2.5999999999999999E-3"/>
    <n v="1.77E-2"/>
    <n v="6.5100000000000005E-2"/>
    <n v="0.12839999999999999"/>
    <n v="2450440"/>
    <n v="492467"/>
    <s v="944.2M"/>
    <x v="191"/>
    <x v="4"/>
    <n v="944200000"/>
    <x v="191"/>
  </r>
  <r>
    <x v="206"/>
    <x v="204"/>
    <n v="0.99929999999999997"/>
    <n v="2.0000000000000001E-4"/>
    <n v="5.0000000000000001E-4"/>
    <n v="1.5E-3"/>
    <n v="2440204"/>
    <n v="2008"/>
    <s v="2.44M"/>
    <x v="192"/>
    <x v="1"/>
    <n v="2440000"/>
    <x v="192"/>
  </r>
  <r>
    <x v="207"/>
    <x v="205"/>
    <n v="2.9999999999999997E-4"/>
    <n v="8.9999999999999998E-4"/>
    <n v="5.8999999999999999E-3"/>
    <n v="5.2499999999999998E-2"/>
    <n v="2437868"/>
    <n v="124370"/>
    <s v="8.85B"/>
    <x v="193"/>
    <x v="4"/>
    <n v="8850000000"/>
    <x v="193"/>
  </r>
  <r>
    <x v="208"/>
    <x v="206"/>
    <n v="2.4400000000000002E-2"/>
    <n v="1.6999999999999999E-3"/>
    <n v="1.7100000000000001E-2"/>
    <n v="4.5400000000000003E-2"/>
    <n v="2435203"/>
    <n v="143141"/>
    <s v="100M"/>
    <x v="194"/>
    <x v="4"/>
    <n v="100000000"/>
    <x v="194"/>
  </r>
  <r>
    <x v="209"/>
    <x v="207"/>
    <n v="4.4999999999999997E-3"/>
    <n v="1.6799999999999999E-2"/>
    <n v="7.6100000000000001E-2"/>
    <n v="9.8400000000000001E-2"/>
    <n v="2437004"/>
    <n v="258266"/>
    <s v="537.27M"/>
    <x v="195"/>
    <x v="4"/>
    <n v="537270000"/>
    <x v="195"/>
  </r>
  <r>
    <x v="210"/>
    <x v="208"/>
    <n v="1.23E-2"/>
    <n v="4.0000000000000002E-4"/>
    <n v="3.27E-2"/>
    <n v="0.13139999999999999"/>
    <n v="2429388"/>
    <n v="226365"/>
    <s v="198.05M"/>
    <x v="196"/>
    <x v="4"/>
    <n v="198050000"/>
    <x v="196"/>
  </r>
  <r>
    <x v="211"/>
    <x v="209"/>
    <n v="6.13E-2"/>
    <n v="2.0000000000000001E-4"/>
    <n v="1.1999999999999999E-3"/>
    <n v="9.4000000000000004E-3"/>
    <n v="2418869"/>
    <n v="92"/>
    <s v="18.22T"/>
    <x v="197"/>
    <x v="2"/>
    <n v="18220000000000"/>
    <x v="197"/>
  </r>
  <r>
    <x v="212"/>
    <x v="210"/>
    <n v="2.7000000000000001E-3"/>
    <n v="3.3999999999999998E-3"/>
    <n v="7.9000000000000008E-3"/>
    <n v="9.01E-2"/>
    <n v="2409578"/>
    <n v="61679"/>
    <s v="896.45M"/>
    <x v="198"/>
    <x v="4"/>
    <n v="896450000"/>
    <x v="198"/>
  </r>
  <r>
    <x v="213"/>
    <x v="211"/>
    <n v="2.3999999999999998E-3"/>
    <n v="2.0000000000000001E-4"/>
    <n v="2.0299999999999999E-2"/>
    <n v="0.1109"/>
    <n v="2399071"/>
    <n v="407765936"/>
    <s v="1B"/>
    <x v="199"/>
    <x v="4"/>
    <n v="1000000000"/>
    <x v="199"/>
  </r>
  <r>
    <x v="214"/>
    <x v="212"/>
    <n v="1.4E-3"/>
    <n v="9.4000000000000004E-3"/>
    <n v="1.21E-2"/>
    <n v="1.9599999999999999E-2"/>
    <n v="2390793"/>
    <n v="270652"/>
    <s v="1.74B"/>
    <x v="200"/>
    <x v="4"/>
    <n v="1740000000"/>
    <x v="200"/>
  </r>
  <r>
    <x v="215"/>
    <x v="213"/>
    <n v="5.0000000000000001E-3"/>
    <n v="0"/>
    <n v="6.3E-3"/>
    <n v="4.7999999999999996E-3"/>
    <n v="2386811"/>
    <n v="709108"/>
    <s v="478.26M"/>
    <x v="201"/>
    <x v="4"/>
    <n v="478260000"/>
    <x v="201"/>
  </r>
  <r>
    <x v="216"/>
    <x v="214"/>
    <n v="2.5000000000000001E-3"/>
    <n v="5.0000000000000001E-4"/>
    <n v="1.11E-2"/>
    <n v="8.6999999999999994E-3"/>
    <n v="2384847"/>
    <n v="798438"/>
    <s v="970.98M"/>
    <x v="202"/>
    <x v="4"/>
    <n v="970980000"/>
    <x v="202"/>
  </r>
  <r>
    <x v="217"/>
    <x v="215"/>
    <n v="3.0000000000000001E-3"/>
    <n v="2.0000000000000001E-4"/>
    <n v="2.2100000000000002E-2"/>
    <n v="4.3999999999999997E-2"/>
    <n v="2383405"/>
    <n v="56260"/>
    <s v="805.71M"/>
    <x v="203"/>
    <x v="4"/>
    <n v="805710000"/>
    <x v="203"/>
  </r>
  <r>
    <x v="218"/>
    <x v="216"/>
    <n v="2E-3"/>
    <n v="2.9899999999999999E-2"/>
    <n v="0.28589999999999999"/>
    <n v="0.28149999999999997"/>
    <n v="1992338"/>
    <n v="2253955"/>
    <s v="998.58M"/>
    <x v="204"/>
    <x v="4"/>
    <n v="998580000"/>
    <x v="204"/>
  </r>
  <r>
    <x v="219"/>
    <x v="217"/>
    <n v="3.44E-2"/>
    <n v="1.6999999999999999E-3"/>
    <n v="3.5999999999999999E-3"/>
    <n v="2.5600000000000001E-2"/>
    <n v="1986050"/>
    <n v="172"/>
    <s v="57.8M"/>
    <x v="0"/>
    <x v="4"/>
    <n v="57800000"/>
    <x v="0"/>
  </r>
  <r>
    <x v="220"/>
    <x v="204"/>
    <n v="5.0000000000000001E-3"/>
    <n v="5.3E-3"/>
    <n v="5.8999999999999999E-3"/>
    <n v="0.17879999999999999"/>
    <n v="1982330"/>
    <n v="69220"/>
    <s v="396.6M"/>
    <x v="205"/>
    <x v="4"/>
    <n v="396600000"/>
    <x v="205"/>
  </r>
  <r>
    <x v="221"/>
    <x v="218"/>
    <n v="7.0599999999999996E-2"/>
    <n v="2.0000000000000001E-4"/>
    <n v="6.1000000000000004E-3"/>
    <n v="7.6E-3"/>
    <n v="1976084"/>
    <n v="1963"/>
    <s v="28M"/>
    <x v="206"/>
    <x v="2"/>
    <n v="28000000"/>
    <x v="206"/>
  </r>
  <r>
    <x v="222"/>
    <x v="219"/>
    <n v="1.32E-2"/>
    <n v="1.3599999999999999E-2"/>
    <n v="1.9599999999999999E-2"/>
    <n v="4.99E-2"/>
    <n v="1973996"/>
    <n v="40947"/>
    <s v="150M"/>
    <x v="207"/>
    <x v="4"/>
    <n v="150000000"/>
    <x v="207"/>
  </r>
  <r>
    <x v="223"/>
    <x v="220"/>
    <n v="5.8999999999999999E-3"/>
    <n v="8.9999999999999998E-4"/>
    <n v="1.5800000000000002E-2"/>
    <n v="5.7000000000000002E-2"/>
    <n v="1972884"/>
    <n v="1987433"/>
    <s v="334.17M"/>
    <x v="208"/>
    <x v="4"/>
    <n v="334170000"/>
    <x v="208"/>
  </r>
  <r>
    <x v="224"/>
    <x v="221"/>
    <n v="2.5999999999999999E-3"/>
    <n v="3.8E-3"/>
    <n v="7.1300000000000002E-2"/>
    <n v="0.15390000000000001"/>
    <n v="1969690"/>
    <n v="9856"/>
    <s v="751.51M"/>
    <x v="209"/>
    <x v="4"/>
    <n v="751510000"/>
    <x v="209"/>
  </r>
  <r>
    <x v="225"/>
    <x v="222"/>
    <n v="2.5999999999999999E-3"/>
    <n v="1.5E-3"/>
    <n v="9.1999999999999998E-3"/>
    <n v="4.7699999999999999E-2"/>
    <n v="1967318"/>
    <n v="155561"/>
    <s v="754.34M"/>
    <x v="210"/>
    <x v="4"/>
    <n v="754340000"/>
    <x v="210"/>
  </r>
  <r>
    <x v="226"/>
    <x v="223"/>
    <n v="8.2000000000000007E-3"/>
    <n v="2.0999999999999999E-3"/>
    <n v="4.3E-3"/>
    <n v="4.7000000000000002E-3"/>
    <n v="1965718"/>
    <n v="58"/>
    <s v="238.75M"/>
    <x v="201"/>
    <x v="4"/>
    <n v="238750000"/>
    <x v="201"/>
  </r>
  <r>
    <x v="227"/>
    <x v="224"/>
    <n v="0"/>
    <n v="0.2351"/>
    <n v="1.67E-2"/>
    <n v="0.20619999999999999"/>
    <n v="1964541"/>
    <n v="19"/>
    <s v="62.07B"/>
    <x v="211"/>
    <x v="4"/>
    <n v="62070000000"/>
    <x v="211"/>
  </r>
  <r>
    <x v="228"/>
    <x v="225"/>
    <n v="2E-3"/>
    <n v="8.3000000000000001E-3"/>
    <n v="7.7999999999999996E-3"/>
    <n v="4.6399999999999997E-2"/>
    <n v="1963781"/>
    <n v="266964"/>
    <s v="979.75M"/>
    <x v="23"/>
    <x v="4"/>
    <n v="979750000"/>
    <x v="23"/>
  </r>
  <r>
    <x v="229"/>
    <x v="226"/>
    <n v="0.15620000000000001"/>
    <n v="3.2000000000000002E-3"/>
    <n v="1.6E-2"/>
    <n v="1.0200000000000001E-2"/>
    <n v="1962027"/>
    <n v="5175937"/>
    <s v="12.55M"/>
    <x v="212"/>
    <x v="2"/>
    <n v="12550000"/>
    <x v="212"/>
  </r>
  <r>
    <x v="230"/>
    <x v="227"/>
    <n v="6.5100000000000005E-2"/>
    <n v="5.9999999999999995E-4"/>
    <n v="4.4000000000000003E-3"/>
    <n v="8.1600000000000006E-2"/>
    <n v="1948954"/>
    <n v="45939"/>
    <s v="29.94M"/>
    <x v="213"/>
    <x v="2"/>
    <n v="29940000"/>
    <x v="213"/>
  </r>
  <r>
    <x v="231"/>
    <x v="228"/>
    <n v="0"/>
    <n v="1E-4"/>
    <n v="8.2000000000000007E-3"/>
    <n v="0.14990000000000001"/>
    <n v="1589739"/>
    <n v="38"/>
    <s v="61.49B"/>
    <x v="214"/>
    <x v="4"/>
    <n v="61490000000"/>
    <x v="214"/>
  </r>
  <r>
    <x v="232"/>
    <x v="229"/>
    <n v="1.34E-2"/>
    <n v="2.0000000000000001E-4"/>
    <n v="6.0499999999999998E-2"/>
    <n v="0.15679999999999999"/>
    <n v="1576631"/>
    <n v="1141"/>
    <s v="117.86M"/>
    <x v="215"/>
    <x v="4"/>
    <n v="117860000"/>
    <x v="215"/>
  </r>
  <r>
    <x v="233"/>
    <x v="230"/>
    <n v="5.8999999999999999E-3"/>
    <n v="8.0000000000000004E-4"/>
    <n v="7.9899999999999999E-2"/>
    <n v="0.15359999999999999"/>
    <n v="1565062"/>
    <n v="115244"/>
    <s v="266.77M"/>
    <x v="216"/>
    <x v="4"/>
    <n v="266769999.99999997"/>
    <x v="216"/>
  </r>
  <r>
    <x v="234"/>
    <x v="231"/>
    <n v="1.03E-2"/>
    <n v="5.1000000000000004E-3"/>
    <n v="4.82E-2"/>
    <n v="7.6600000000000001E-2"/>
    <n v="1565008"/>
    <n v="1353303"/>
    <s v="50P"/>
    <x v="217"/>
    <x v="4"/>
    <m/>
    <x v="217"/>
  </r>
  <r>
    <x v="235"/>
    <x v="232"/>
    <n v="1.17E-2"/>
    <n v="3.3999999999999998E-3"/>
    <n v="3.5000000000000001E-3"/>
    <n v="1.18E-2"/>
    <n v="1562888"/>
    <n v="3046178"/>
    <s v="133.39M"/>
    <x v="218"/>
    <x v="4"/>
    <n v="133389999.99999999"/>
    <x v="218"/>
  </r>
  <r>
    <x v="236"/>
    <x v="233"/>
    <n v="2.3999999999999998E-3"/>
    <n v="4.5999999999999999E-3"/>
    <n v="1.6799999999999999E-2"/>
    <n v="0.1704"/>
    <n v="1559156"/>
    <n v="162969"/>
    <s v="642.49M"/>
    <x v="219"/>
    <x v="4"/>
    <n v="642490000"/>
    <x v="219"/>
  </r>
  <r>
    <x v="237"/>
    <x v="234"/>
    <n v="5.3800000000000001E-2"/>
    <n v="6.7999999999999996E-3"/>
    <n v="3.8600000000000002E-2"/>
    <n v="0.1014"/>
    <n v="1553294"/>
    <n v="14256"/>
    <s v="410.27B"/>
    <x v="220"/>
    <x v="2"/>
    <n v="410270000000"/>
    <x v="220"/>
  </r>
  <r>
    <x v="238"/>
    <x v="235"/>
    <n v="2.1800000000000002"/>
    <n v="1.5299999999999999E-2"/>
    <n v="0.9597"/>
    <n v="3.0634999999999999"/>
    <n v="1551621"/>
    <n v="591632"/>
    <s v="710.11K"/>
    <x v="221"/>
    <x v="1"/>
    <n v="710110"/>
    <x v="221"/>
  </r>
  <r>
    <x v="239"/>
    <x v="236"/>
    <n v="7.2800000000000004E-2"/>
    <n v="8.9999999999999998E-4"/>
    <n v="6.8999999999999999E-3"/>
    <n v="1.2699999999999999E-2"/>
    <n v="1541897"/>
    <n v="1316694"/>
    <s v="21.18M"/>
    <x v="222"/>
    <x v="2"/>
    <n v="21180000"/>
    <x v="222"/>
  </r>
  <r>
    <x v="240"/>
    <x v="237"/>
    <n v="1.5E-3"/>
    <n v="1.9E-3"/>
    <n v="8.9999999999999998E-4"/>
    <n v="1.1999999999999999E-3"/>
    <n v="1527682"/>
    <n v="631"/>
    <s v="994.96M"/>
    <x v="223"/>
    <x v="4"/>
    <n v="994960000"/>
    <x v="223"/>
  </r>
  <r>
    <x v="241"/>
    <x v="238"/>
    <n v="0"/>
    <n v="1.0999999999999999E-2"/>
    <n v="7.7200000000000005E-2"/>
    <n v="0.21210000000000001"/>
    <n v="1526436"/>
    <n v="182725"/>
    <s v="115.12B"/>
    <x v="224"/>
    <x v="4"/>
    <n v="115120000000"/>
    <x v="224"/>
  </r>
  <r>
    <x v="242"/>
    <x v="239"/>
    <n v="3.8999999999999998E-3"/>
    <n v="2.0000000000000001E-4"/>
    <n v="8.3900000000000002E-2"/>
    <n v="0.1188"/>
    <n v="1299890"/>
    <n v="1248530"/>
    <s v="330M"/>
    <x v="225"/>
    <x v="4"/>
    <n v="330000000"/>
    <x v="225"/>
  </r>
  <r>
    <x v="243"/>
    <x v="240"/>
    <n v="0.21629999999999999"/>
    <n v="8.3999999999999995E-3"/>
    <n v="6.2799999999999995E-2"/>
    <n v="0.14219999999999999"/>
    <n v="1295887"/>
    <n v="22343"/>
    <s v="5.99M"/>
    <x v="226"/>
    <x v="2"/>
    <n v="5990000"/>
    <x v="226"/>
  </r>
  <r>
    <x v="244"/>
    <x v="241"/>
    <n v="1.83E-2"/>
    <n v="5.5999999999999999E-3"/>
    <n v="2.6599999999999999E-2"/>
    <n v="0.13120000000000001"/>
    <n v="1294610"/>
    <n v="58860"/>
    <s v="70.7M"/>
    <x v="227"/>
    <x v="4"/>
    <n v="70700000"/>
    <x v="227"/>
  </r>
  <r>
    <x v="245"/>
    <x v="242"/>
    <n v="1E-4"/>
    <n v="4.0000000000000002E-4"/>
    <n v="8.8000000000000005E-3"/>
    <n v="7.0900000000000005E-2"/>
    <n v="1294378"/>
    <n v="222584"/>
    <s v="10.55B"/>
    <x v="228"/>
    <x v="4"/>
    <n v="10550000000"/>
    <x v="228"/>
  </r>
  <r>
    <x v="246"/>
    <x v="243"/>
    <n v="4.0000000000000002E-4"/>
    <n v="1.72E-2"/>
    <n v="0.1946"/>
    <n v="0.29220000000000002"/>
    <n v="1285748"/>
    <n v="7936"/>
    <s v="2.85B"/>
    <x v="229"/>
    <x v="4"/>
    <n v="2850000000"/>
    <x v="229"/>
  </r>
  <r>
    <x v="247"/>
    <x v="244"/>
    <n v="1.2999999999999999E-3"/>
    <n v="1E-4"/>
    <n v="2.0000000000000001E-4"/>
    <n v="5.0000000000000001E-4"/>
    <n v="1283708"/>
    <n v="22761"/>
    <s v="999.92M"/>
    <x v="34"/>
    <x v="4"/>
    <n v="999920000"/>
    <x v="34"/>
  </r>
  <r>
    <x v="248"/>
    <x v="245"/>
    <n v="0.12540000000000001"/>
    <n v="4.5999999999999999E-3"/>
    <n v="2.1899999999999999E-2"/>
    <n v="0.28639999999999999"/>
    <n v="1279070"/>
    <n v="99436"/>
    <s v="10.19M"/>
    <x v="230"/>
    <x v="2"/>
    <n v="10190000"/>
    <x v="230"/>
  </r>
  <r>
    <x v="249"/>
    <x v="246"/>
    <n v="1.9E-3"/>
    <n v="1.6500000000000001E-2"/>
    <n v="4.8099999999999997E-2"/>
    <n v="6.3399999999999998E-2"/>
    <n v="1277302"/>
    <n v="138"/>
    <s v="681.55M"/>
    <x v="231"/>
    <x v="4"/>
    <n v="681550000"/>
    <x v="231"/>
  </r>
  <r>
    <x v="250"/>
    <x v="247"/>
    <n v="1.2500000000000001E-2"/>
    <n v="2.0000000000000001E-4"/>
    <n v="4.4000000000000003E-3"/>
    <n v="8.0000000000000004E-4"/>
    <n v="1265403"/>
    <n v="133476"/>
    <s v="101.06M"/>
    <x v="232"/>
    <x v="4"/>
    <n v="101060000"/>
    <x v="232"/>
  </r>
  <r>
    <x v="251"/>
    <x v="248"/>
    <n v="1.2999999999999999E-3"/>
    <n v="7.4000000000000003E-3"/>
    <n v="5.4800000000000001E-2"/>
    <n v="0.26600000000000001"/>
    <n v="1265309"/>
    <n v="36911"/>
    <s v="999.99M"/>
    <x v="233"/>
    <x v="4"/>
    <n v="999990000"/>
    <x v="233"/>
  </r>
  <r>
    <x v="252"/>
    <x v="249"/>
    <n v="5.0000000000000001E-4"/>
    <n v="6.9999999999999999E-4"/>
    <n v="1.4500000000000001E-2"/>
    <n v="6.3E-3"/>
    <n v="1264345"/>
    <n v="201581"/>
    <s v="2.5B"/>
    <x v="60"/>
    <x v="4"/>
    <n v="2500000000"/>
    <x v="60"/>
  </r>
  <r>
    <x v="253"/>
    <x v="250"/>
    <n v="1.5E-3"/>
    <n v="1.5E-3"/>
    <n v="5.6099999999999997E-2"/>
    <n v="0.17180000000000001"/>
    <n v="1048117"/>
    <n v="70293"/>
    <s v="692.89M"/>
    <x v="234"/>
    <x v="4"/>
    <n v="692890000"/>
    <x v="234"/>
  </r>
  <r>
    <x v="254"/>
    <x v="251"/>
    <n v="5.3699999999999998E-2"/>
    <n v="1.1000000000000001E-3"/>
    <n v="1.49E-2"/>
    <n v="0.1376"/>
    <n v="1046844"/>
    <n v="1399754"/>
    <s v="19.48M"/>
    <x v="235"/>
    <x v="2"/>
    <n v="19480000"/>
    <x v="235"/>
  </r>
  <r>
    <x v="255"/>
    <x v="252"/>
    <n v="1.6000000000000001E-3"/>
    <n v="3.3E-3"/>
    <n v="8.8000000000000005E-3"/>
    <n v="1.01E-2"/>
    <n v="1043314"/>
    <n v="888197"/>
    <s v="635.71M"/>
    <x v="236"/>
    <x v="4"/>
    <n v="635710000"/>
    <x v="236"/>
  </r>
  <r>
    <x v="256"/>
    <x v="253"/>
    <n v="0"/>
    <n v="1E-4"/>
    <n v="2.3E-3"/>
    <n v="0.1043"/>
    <n v="1042702"/>
    <n v="45796"/>
    <s v="83.35B"/>
    <x v="237"/>
    <x v="4"/>
    <n v="83350000000"/>
    <x v="237"/>
  </r>
  <r>
    <x v="257"/>
    <x v="254"/>
    <n v="1E-3"/>
    <n v="6.3E-3"/>
    <n v="6.0900000000000003E-2"/>
    <n v="7.0900000000000005E-2"/>
    <n v="1041108"/>
    <n v="340077"/>
    <s v="994.62M"/>
    <x v="238"/>
    <x v="4"/>
    <n v="994620000"/>
    <x v="238"/>
  </r>
  <r>
    <x v="258"/>
    <x v="255"/>
    <n v="6.1999999999999998E-3"/>
    <n v="2.0999999999999999E-3"/>
    <n v="1.4E-3"/>
    <n v="3.2899999999999999E-2"/>
    <n v="1039767"/>
    <n v="186735"/>
    <s v="166.57M"/>
    <x v="239"/>
    <x v="4"/>
    <n v="166570000"/>
    <x v="239"/>
  </r>
  <r>
    <x v="259"/>
    <x v="256"/>
    <n v="4.0000000000000001E-3"/>
    <n v="6.9999999999999999E-4"/>
    <n v="5.3E-3"/>
    <n v="7.2999999999999995E-2"/>
    <n v="1036378"/>
    <n v="168169"/>
    <s v="258.22M"/>
    <x v="240"/>
    <x v="4"/>
    <n v="258220000.00000003"/>
    <x v="240"/>
  </r>
  <r>
    <x v="260"/>
    <x v="257"/>
    <n v="2.8999999999999998E-3"/>
    <n v="7.1999999999999998E-3"/>
    <n v="1.7399999999999999E-2"/>
    <n v="0.13739999999999999"/>
    <n v="1031494"/>
    <n v="121456"/>
    <s v="355.9M"/>
    <x v="241"/>
    <x v="4"/>
    <n v="355900000"/>
    <x v="241"/>
  </r>
  <r>
    <x v="261"/>
    <x v="258"/>
    <n v="5.0000000000000001E-4"/>
    <n v="2E-3"/>
    <n v="5.4999999999999997E-3"/>
    <n v="7.5700000000000003E-2"/>
    <n v="1013562"/>
    <n v="64025"/>
    <s v="2.2B"/>
    <x v="242"/>
    <x v="4"/>
    <n v="2200000000"/>
    <x v="242"/>
  </r>
  <r>
    <x v="262"/>
    <x v="259"/>
    <n v="8.2199999999999995E-2"/>
    <n v="3.0999999999999999E-3"/>
    <n v="3.1300000000000001E-2"/>
    <n v="1.3599999999999999E-2"/>
    <n v="1012494"/>
    <n v="73052"/>
    <s v="469T"/>
    <x v="59"/>
    <x v="2"/>
    <n v="469000000000000"/>
    <x v="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AB27D9-6957-4E20-B768-83FBB80611C5}"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 Coin Name">
  <location ref="K36:L300" firstHeaderRow="1" firstDataRow="1" firstDataCol="1"/>
  <pivotFields count="13">
    <pivotField axis="axisRow" showAll="0">
      <items count="264">
        <item x="27"/>
        <item x="154"/>
        <item x="58"/>
        <item x="51"/>
        <item x="233"/>
        <item x="47"/>
        <item x="204"/>
        <item x="73"/>
        <item x="90"/>
        <item x="63"/>
        <item x="37"/>
        <item x="93"/>
        <item x="62"/>
        <item x="232"/>
        <item x="117"/>
        <item x="254"/>
        <item x="49"/>
        <item x="160"/>
        <item x="118"/>
        <item x="56"/>
        <item x="52"/>
        <item x="256"/>
        <item x="123"/>
        <item x="34"/>
        <item x="130"/>
        <item x="0"/>
        <item x="11"/>
        <item x="143"/>
        <item x="22"/>
        <item x="25"/>
        <item x="67"/>
        <item x="137"/>
        <item x="4"/>
        <item x="82"/>
        <item x="173"/>
        <item x="121"/>
        <item x="40"/>
        <item x="187"/>
        <item x="101"/>
        <item x="32"/>
        <item x="12"/>
        <item x="59"/>
        <item x="234"/>
        <item x="217"/>
        <item x="23"/>
        <item x="226"/>
        <item x="92"/>
        <item x="236"/>
        <item x="238"/>
        <item x="108"/>
        <item x="255"/>
        <item x="103"/>
        <item x="188"/>
        <item x="44"/>
        <item x="104"/>
        <item x="28"/>
        <item x="134"/>
        <item x="178"/>
        <item x="170"/>
        <item x="231"/>
        <item x="15"/>
        <item x="147"/>
        <item x="98"/>
        <item x="20"/>
        <item x="115"/>
        <item x="197"/>
        <item x="247"/>
        <item x="168"/>
        <item x="50"/>
        <item x="241"/>
        <item x="8"/>
        <item x="95"/>
        <item x="209"/>
        <item x="258"/>
        <item x="184"/>
        <item x="111"/>
        <item x="149"/>
        <item x="250"/>
        <item x="68"/>
        <item x="16"/>
        <item x="1"/>
        <item x="71"/>
        <item x="167"/>
        <item x="106"/>
        <item x="214"/>
        <item x="181"/>
        <item x="124"/>
        <item x="26"/>
        <item x="85"/>
        <item x="65"/>
        <item x="61"/>
        <item x="182"/>
        <item x="175"/>
        <item x="164"/>
        <item x="194"/>
        <item x="53"/>
        <item x="35"/>
        <item x="159"/>
        <item x="109"/>
        <item x="70"/>
        <item x="17"/>
        <item x="202"/>
        <item x="69"/>
        <item x="113"/>
        <item x="198"/>
        <item x="139"/>
        <item x="122"/>
        <item x="141"/>
        <item x="227"/>
        <item x="218"/>
        <item x="30"/>
        <item x="9"/>
        <item x="144"/>
        <item x="200"/>
        <item x="80"/>
        <item x="225"/>
        <item x="18"/>
        <item x="100"/>
        <item x="186"/>
        <item x="54"/>
        <item x="14"/>
        <item x="251"/>
        <item x="33"/>
        <item x="135"/>
        <item x="201"/>
        <item x="127"/>
        <item x="116"/>
        <item x="88"/>
        <item x="38"/>
        <item x="24"/>
        <item x="189"/>
        <item x="260"/>
        <item x="72"/>
        <item x="162"/>
        <item x="155"/>
        <item x="207"/>
        <item x="96"/>
        <item x="158"/>
        <item x="105"/>
        <item x="223"/>
        <item x="176"/>
        <item x="86"/>
        <item x="172"/>
        <item x="237"/>
        <item x="77"/>
        <item x="163"/>
        <item x="221"/>
        <item x="257"/>
        <item x="21"/>
        <item x="13"/>
        <item x="243"/>
        <item x="205"/>
        <item x="46"/>
        <item x="157"/>
        <item x="42"/>
        <item x="148"/>
        <item x="228"/>
        <item x="133"/>
        <item x="235"/>
        <item x="153"/>
        <item x="210"/>
        <item x="183"/>
        <item x="190"/>
        <item x="31"/>
        <item x="48"/>
        <item x="76"/>
        <item x="230"/>
        <item x="174"/>
        <item x="249"/>
        <item x="110"/>
        <item x="114"/>
        <item x="242"/>
        <item x="136"/>
        <item x="79"/>
        <item x="151"/>
        <item x="262"/>
        <item x="245"/>
        <item x="145"/>
        <item x="89"/>
        <item x="97"/>
        <item x="165"/>
        <item x="166"/>
        <item x="140"/>
        <item x="129"/>
        <item x="126"/>
        <item x="253"/>
        <item x="142"/>
        <item x="219"/>
        <item x="215"/>
        <item x="74"/>
        <item x="171"/>
        <item x="261"/>
        <item x="87"/>
        <item x="185"/>
        <item x="211"/>
        <item x="150"/>
        <item x="213"/>
        <item x="224"/>
        <item x="29"/>
        <item x="248"/>
        <item x="203"/>
        <item x="193"/>
        <item x="146"/>
        <item x="191"/>
        <item x="132"/>
        <item x="41"/>
        <item x="216"/>
        <item x="43"/>
        <item x="75"/>
        <item x="196"/>
        <item x="246"/>
        <item x="78"/>
        <item x="6"/>
        <item x="81"/>
        <item x="120"/>
        <item x="36"/>
        <item x="64"/>
        <item x="55"/>
        <item x="199"/>
        <item x="102"/>
        <item x="252"/>
        <item x="179"/>
        <item x="259"/>
        <item x="128"/>
        <item x="91"/>
        <item x="240"/>
        <item x="177"/>
        <item x="39"/>
        <item x="138"/>
        <item x="57"/>
        <item x="99"/>
        <item x="222"/>
        <item x="94"/>
        <item x="60"/>
        <item x="83"/>
        <item x="2"/>
        <item x="152"/>
        <item x="229"/>
        <item x="239"/>
        <item x="7"/>
        <item x="180"/>
        <item x="10"/>
        <item x="112"/>
        <item x="5"/>
        <item x="206"/>
        <item x="220"/>
        <item x="66"/>
        <item x="208"/>
        <item x="161"/>
        <item x="125"/>
        <item x="192"/>
        <item x="119"/>
        <item x="169"/>
        <item x="107"/>
        <item x="156"/>
        <item x="131"/>
        <item x="45"/>
        <item x="3"/>
        <item x="244"/>
        <item x="19"/>
        <item x="84"/>
        <item x="195"/>
        <item x="212"/>
        <item t="default"/>
      </items>
    </pivotField>
    <pivotField showAll="0">
      <items count="261">
        <item x="21"/>
        <item x="61"/>
        <item x="220"/>
        <item x="196"/>
        <item x="92"/>
        <item x="51"/>
        <item x="12"/>
        <item x="72"/>
        <item x="58"/>
        <item x="53"/>
        <item x="153"/>
        <item x="62"/>
        <item x="89"/>
        <item x="37"/>
        <item x="229"/>
        <item x="116"/>
        <item x="251"/>
        <item x="159"/>
        <item x="49"/>
        <item x="117"/>
        <item x="56"/>
        <item x="52"/>
        <item x="230"/>
        <item x="44"/>
        <item x="122"/>
        <item x="81"/>
        <item x="253"/>
        <item x="11"/>
        <item x="34"/>
        <item x="100"/>
        <item x="136"/>
        <item x="4"/>
        <item x="71"/>
        <item x="39"/>
        <item x="172"/>
        <item x="40"/>
        <item x="185"/>
        <item x="22"/>
        <item x="0"/>
        <item x="142"/>
        <item x="120"/>
        <item x="25"/>
        <item x="66"/>
        <item x="102"/>
        <item x="228"/>
        <item x="231"/>
        <item x="215"/>
        <item x="223"/>
        <item x="91"/>
        <item x="28"/>
        <item x="103"/>
        <item x="227"/>
        <item x="233"/>
        <item x="134"/>
        <item x="42"/>
        <item x="252"/>
        <item x="186"/>
        <item x="15"/>
        <item x="107"/>
        <item x="59"/>
        <item x="32"/>
        <item x="176"/>
        <item x="146"/>
        <item x="97"/>
        <item x="20"/>
        <item x="114"/>
        <item x="195"/>
        <item x="244"/>
        <item x="50"/>
        <item x="238"/>
        <item x="167"/>
        <item x="8"/>
        <item x="94"/>
        <item x="207"/>
        <item x="255"/>
        <item x="182"/>
        <item x="75"/>
        <item x="110"/>
        <item x="148"/>
        <item x="67"/>
        <item x="1"/>
        <item x="16"/>
        <item x="70"/>
        <item x="183"/>
        <item x="166"/>
        <item x="212"/>
        <item x="64"/>
        <item x="179"/>
        <item x="123"/>
        <item x="26"/>
        <item x="84"/>
        <item x="38"/>
        <item x="105"/>
        <item x="180"/>
        <item x="108"/>
        <item x="192"/>
        <item x="35"/>
        <item x="173"/>
        <item x="158"/>
        <item x="163"/>
        <item x="69"/>
        <item x="17"/>
        <item x="200"/>
        <item x="47"/>
        <item x="68"/>
        <item x="112"/>
        <item x="90"/>
        <item x="121"/>
        <item x="224"/>
        <item x="216"/>
        <item x="30"/>
        <item x="9"/>
        <item x="143"/>
        <item x="198"/>
        <item x="184"/>
        <item x="79"/>
        <item x="18"/>
        <item x="99"/>
        <item x="54"/>
        <item x="14"/>
        <item x="248"/>
        <item x="33"/>
        <item x="199"/>
        <item x="126"/>
        <item x="115"/>
        <item x="139"/>
        <item x="80"/>
        <item x="87"/>
        <item x="24"/>
        <item x="10"/>
        <item x="222"/>
        <item x="187"/>
        <item x="257"/>
        <item x="161"/>
        <item x="60"/>
        <item x="205"/>
        <item x="140"/>
        <item x="162"/>
        <item x="218"/>
        <item x="174"/>
        <item x="234"/>
        <item x="95"/>
        <item x="154"/>
        <item x="157"/>
        <item x="76"/>
        <item x="138"/>
        <item x="254"/>
        <item x="240"/>
        <item x="85"/>
        <item x="171"/>
        <item x="203"/>
        <item x="46"/>
        <item x="156"/>
        <item x="147"/>
        <item x="27"/>
        <item x="225"/>
        <item x="232"/>
        <item x="152"/>
        <item x="247"/>
        <item x="132"/>
        <item x="208"/>
        <item x="181"/>
        <item x="188"/>
        <item x="113"/>
        <item x="48"/>
        <item x="246"/>
        <item x="109"/>
        <item x="239"/>
        <item x="78"/>
        <item x="259"/>
        <item x="144"/>
        <item x="242"/>
        <item x="88"/>
        <item x="96"/>
        <item x="164"/>
        <item x="165"/>
        <item x="104"/>
        <item x="125"/>
        <item x="250"/>
        <item x="141"/>
        <item x="150"/>
        <item x="73"/>
        <item x="118"/>
        <item x="213"/>
        <item x="135"/>
        <item x="170"/>
        <item x="258"/>
        <item x="209"/>
        <item x="129"/>
        <item x="221"/>
        <item x="86"/>
        <item x="149"/>
        <item x="211"/>
        <item x="29"/>
        <item x="201"/>
        <item x="191"/>
        <item x="189"/>
        <item x="131"/>
        <item x="145"/>
        <item x="245"/>
        <item x="41"/>
        <item x="214"/>
        <item x="43"/>
        <item x="74"/>
        <item x="197"/>
        <item x="194"/>
        <item x="243"/>
        <item x="119"/>
        <item x="77"/>
        <item x="6"/>
        <item x="63"/>
        <item x="226"/>
        <item x="249"/>
        <item x="55"/>
        <item x="177"/>
        <item x="101"/>
        <item x="256"/>
        <item x="237"/>
        <item x="175"/>
        <item x="137"/>
        <item x="57"/>
        <item x="98"/>
        <item x="93"/>
        <item x="23"/>
        <item x="235"/>
        <item x="7"/>
        <item x="236"/>
        <item x="151"/>
        <item x="178"/>
        <item x="127"/>
        <item x="202"/>
        <item x="5"/>
        <item x="111"/>
        <item x="2"/>
        <item x="31"/>
        <item x="82"/>
        <item x="36"/>
        <item x="204"/>
        <item x="65"/>
        <item x="169"/>
        <item x="206"/>
        <item x="193"/>
        <item x="160"/>
        <item x="124"/>
        <item x="45"/>
        <item x="190"/>
        <item x="168"/>
        <item x="106"/>
        <item x="155"/>
        <item x="130"/>
        <item x="219"/>
        <item x="13"/>
        <item x="133"/>
        <item x="217"/>
        <item x="3"/>
        <item x="241"/>
        <item x="19"/>
        <item x="83"/>
        <item x="128"/>
        <item x="210"/>
        <item t="default"/>
      </items>
    </pivotField>
    <pivotField dataField="1" showAll="0"/>
    <pivotField showAll="0"/>
    <pivotField showAll="0"/>
    <pivotField showAll="0"/>
    <pivotField showAll="0"/>
    <pivotField showAll="0"/>
    <pivotField showAll="0"/>
    <pivotField showAll="0"/>
    <pivotField showAll="0">
      <items count="6">
        <item x="4"/>
        <item x="2"/>
        <item x="1"/>
        <item x="3"/>
        <item x="0"/>
        <item t="default"/>
      </items>
    </pivotField>
    <pivotField showAll="0"/>
    <pivotField showAll="0"/>
  </pivotFields>
  <rowFields count="1">
    <field x="0"/>
  </rowFields>
  <rowItems count="2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t="grand">
      <x/>
    </i>
  </rowItems>
  <colItems count="1">
    <i/>
  </colItems>
  <dataFields count="1">
    <dataField name="Count of Price (USD)" fld="2"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3A3AD6-EEA8-4C8A-A595-9844BB8A736D}"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 Coin Name">
  <location ref="B31:C42" firstHeaderRow="1" firstDataRow="1" firstDataCol="1" rowPageCount="1" colPageCount="1"/>
  <pivotFields count="13">
    <pivotField axis="axisRow" showAll="0">
      <items count="264">
        <item x="27"/>
        <item x="154"/>
        <item x="58"/>
        <item x="51"/>
        <item x="233"/>
        <item x="47"/>
        <item x="204"/>
        <item x="73"/>
        <item x="90"/>
        <item x="63"/>
        <item x="37"/>
        <item x="93"/>
        <item x="62"/>
        <item x="232"/>
        <item x="117"/>
        <item x="254"/>
        <item x="49"/>
        <item x="160"/>
        <item x="118"/>
        <item x="56"/>
        <item x="52"/>
        <item x="256"/>
        <item x="123"/>
        <item x="34"/>
        <item x="130"/>
        <item x="0"/>
        <item x="11"/>
        <item x="143"/>
        <item x="22"/>
        <item x="25"/>
        <item x="67"/>
        <item x="137"/>
        <item x="4"/>
        <item x="82"/>
        <item x="173"/>
        <item x="121"/>
        <item x="40"/>
        <item x="187"/>
        <item x="101"/>
        <item x="32"/>
        <item x="12"/>
        <item x="59"/>
        <item x="234"/>
        <item x="217"/>
        <item x="23"/>
        <item x="226"/>
        <item x="92"/>
        <item x="236"/>
        <item x="238"/>
        <item x="108"/>
        <item x="255"/>
        <item x="103"/>
        <item x="188"/>
        <item x="44"/>
        <item x="104"/>
        <item x="28"/>
        <item x="134"/>
        <item x="178"/>
        <item x="170"/>
        <item x="231"/>
        <item x="15"/>
        <item x="147"/>
        <item x="98"/>
        <item x="20"/>
        <item x="115"/>
        <item x="197"/>
        <item x="247"/>
        <item x="168"/>
        <item x="50"/>
        <item x="241"/>
        <item x="8"/>
        <item x="95"/>
        <item x="209"/>
        <item x="258"/>
        <item x="184"/>
        <item x="111"/>
        <item x="149"/>
        <item x="250"/>
        <item x="68"/>
        <item x="16"/>
        <item x="1"/>
        <item x="71"/>
        <item x="167"/>
        <item x="106"/>
        <item x="214"/>
        <item x="181"/>
        <item x="124"/>
        <item x="26"/>
        <item x="85"/>
        <item x="65"/>
        <item x="61"/>
        <item x="182"/>
        <item x="175"/>
        <item x="164"/>
        <item x="194"/>
        <item x="53"/>
        <item x="35"/>
        <item x="159"/>
        <item x="109"/>
        <item x="70"/>
        <item x="17"/>
        <item x="202"/>
        <item x="69"/>
        <item x="113"/>
        <item x="198"/>
        <item x="139"/>
        <item x="122"/>
        <item x="141"/>
        <item x="227"/>
        <item x="218"/>
        <item x="30"/>
        <item x="9"/>
        <item x="144"/>
        <item x="200"/>
        <item x="80"/>
        <item x="225"/>
        <item x="18"/>
        <item x="100"/>
        <item x="186"/>
        <item x="54"/>
        <item x="14"/>
        <item x="251"/>
        <item x="33"/>
        <item x="135"/>
        <item x="201"/>
        <item x="127"/>
        <item x="116"/>
        <item x="88"/>
        <item x="38"/>
        <item x="24"/>
        <item x="189"/>
        <item x="260"/>
        <item x="72"/>
        <item x="162"/>
        <item x="155"/>
        <item x="207"/>
        <item x="96"/>
        <item x="158"/>
        <item x="105"/>
        <item x="223"/>
        <item x="176"/>
        <item x="86"/>
        <item x="172"/>
        <item x="237"/>
        <item x="77"/>
        <item x="163"/>
        <item x="221"/>
        <item x="257"/>
        <item x="21"/>
        <item x="13"/>
        <item x="243"/>
        <item x="205"/>
        <item x="46"/>
        <item x="157"/>
        <item x="42"/>
        <item x="148"/>
        <item x="228"/>
        <item x="133"/>
        <item x="235"/>
        <item x="153"/>
        <item x="210"/>
        <item x="183"/>
        <item x="190"/>
        <item x="31"/>
        <item x="48"/>
        <item x="76"/>
        <item x="230"/>
        <item x="174"/>
        <item x="249"/>
        <item x="110"/>
        <item x="114"/>
        <item x="242"/>
        <item x="136"/>
        <item x="79"/>
        <item x="151"/>
        <item x="262"/>
        <item x="245"/>
        <item x="145"/>
        <item x="89"/>
        <item x="97"/>
        <item x="165"/>
        <item x="166"/>
        <item x="140"/>
        <item x="129"/>
        <item x="126"/>
        <item x="253"/>
        <item x="142"/>
        <item x="219"/>
        <item x="215"/>
        <item x="74"/>
        <item x="171"/>
        <item x="261"/>
        <item x="87"/>
        <item x="185"/>
        <item x="211"/>
        <item x="150"/>
        <item x="213"/>
        <item x="224"/>
        <item x="29"/>
        <item x="248"/>
        <item x="203"/>
        <item x="193"/>
        <item x="146"/>
        <item x="191"/>
        <item x="132"/>
        <item x="41"/>
        <item x="216"/>
        <item x="43"/>
        <item x="75"/>
        <item x="196"/>
        <item x="246"/>
        <item x="78"/>
        <item x="6"/>
        <item x="81"/>
        <item x="120"/>
        <item x="36"/>
        <item x="64"/>
        <item x="55"/>
        <item x="199"/>
        <item x="102"/>
        <item x="252"/>
        <item x="179"/>
        <item x="259"/>
        <item x="128"/>
        <item x="91"/>
        <item x="240"/>
        <item x="177"/>
        <item x="39"/>
        <item x="138"/>
        <item x="57"/>
        <item x="99"/>
        <item x="222"/>
        <item x="94"/>
        <item x="60"/>
        <item x="83"/>
        <item x="2"/>
        <item x="152"/>
        <item x="229"/>
        <item x="239"/>
        <item x="7"/>
        <item x="180"/>
        <item x="10"/>
        <item x="112"/>
        <item x="5"/>
        <item x="206"/>
        <item x="220"/>
        <item x="66"/>
        <item x="208"/>
        <item x="161"/>
        <item x="125"/>
        <item x="192"/>
        <item x="119"/>
        <item x="169"/>
        <item x="107"/>
        <item x="156"/>
        <item x="131"/>
        <item x="45"/>
        <item x="3"/>
        <item x="244"/>
        <item x="19"/>
        <item x="84"/>
        <item x="195"/>
        <item x="212"/>
        <item t="default"/>
      </items>
    </pivotField>
    <pivotField showAll="0"/>
    <pivotField dataField="1" showAll="0"/>
    <pivotField showAll="0"/>
    <pivotField showAll="0"/>
    <pivotField showAll="0"/>
    <pivotField showAll="0"/>
    <pivotField showAll="0"/>
    <pivotField showAll="0"/>
    <pivotField showAll="0">
      <items count="244">
        <item x="2"/>
        <item x="35"/>
        <item x="106"/>
        <item x="34"/>
        <item x="37"/>
        <item x="30"/>
        <item x="103"/>
        <item x="29"/>
        <item x="192"/>
        <item x="182"/>
        <item x="223"/>
        <item x="33"/>
        <item x="232"/>
        <item x="128"/>
        <item x="172"/>
        <item x="11"/>
        <item x="38"/>
        <item x="9"/>
        <item x="89"/>
        <item x="130"/>
        <item x="114"/>
        <item x="197"/>
        <item x="201"/>
        <item x="24"/>
        <item x="86"/>
        <item x="108"/>
        <item x="206"/>
        <item x="169"/>
        <item x="90"/>
        <item x="94"/>
        <item x="138"/>
        <item x="32"/>
        <item x="218"/>
        <item x="126"/>
        <item x="27"/>
        <item x="85"/>
        <item x="202"/>
        <item x="222"/>
        <item x="81"/>
        <item x="163"/>
        <item x="60"/>
        <item x="82"/>
        <item x="236"/>
        <item x="186"/>
        <item x="111"/>
        <item x="144"/>
        <item x="6"/>
        <item x="80"/>
        <item x="8"/>
        <item x="41"/>
        <item x="189"/>
        <item x="136"/>
        <item x="212"/>
        <item x="104"/>
        <item x="0"/>
        <item x="151"/>
        <item x="14"/>
        <item x="164"/>
        <item x="21"/>
        <item x="122"/>
        <item x="5"/>
        <item x="118"/>
        <item x="3"/>
        <item x="57"/>
        <item x="25"/>
        <item x="10"/>
        <item x="16"/>
        <item x="70"/>
        <item x="95"/>
        <item x="165"/>
        <item x="239"/>
        <item x="12"/>
        <item x="102"/>
        <item x="161"/>
        <item x="4"/>
        <item x="160"/>
        <item x="61"/>
        <item x="150"/>
        <item x="47"/>
        <item x="73"/>
        <item x="137"/>
        <item x="200"/>
        <item x="76"/>
        <item x="77"/>
        <item x="155"/>
        <item x="98"/>
        <item x="99"/>
        <item x="72"/>
        <item x="170"/>
        <item x="59"/>
        <item x="40"/>
        <item x="31"/>
        <item x="115"/>
        <item x="1"/>
        <item x="52"/>
        <item x="145"/>
        <item x="110"/>
        <item x="153"/>
        <item x="173"/>
        <item x="66"/>
        <item x="190"/>
        <item x="131"/>
        <item x="36"/>
        <item x="53"/>
        <item x="210"/>
        <item x="148"/>
        <item x="42"/>
        <item x="193"/>
        <item x="64"/>
        <item x="176"/>
        <item x="83"/>
        <item x="121"/>
        <item x="23"/>
        <item x="68"/>
        <item x="194"/>
        <item x="112"/>
        <item x="203"/>
        <item x="177"/>
        <item x="139"/>
        <item x="123"/>
        <item x="75"/>
        <item x="208"/>
        <item x="113"/>
        <item x="179"/>
        <item x="17"/>
        <item x="54"/>
        <item x="240"/>
        <item x="156"/>
        <item x="228"/>
        <item x="13"/>
        <item x="207"/>
        <item x="242"/>
        <item x="116"/>
        <item x="26"/>
        <item x="50"/>
        <item x="19"/>
        <item x="28"/>
        <item x="213"/>
        <item x="100"/>
        <item x="62"/>
        <item x="22"/>
        <item x="105"/>
        <item x="92"/>
        <item x="46"/>
        <item x="167"/>
        <item x="78"/>
        <item x="135"/>
        <item x="91"/>
        <item x="198"/>
        <item x="88"/>
        <item x="71"/>
        <item x="69"/>
        <item x="48"/>
        <item x="39"/>
        <item x="237"/>
        <item x="93"/>
        <item x="58"/>
        <item x="127"/>
        <item x="162"/>
        <item x="142"/>
        <item x="231"/>
        <item x="217"/>
        <item x="199"/>
        <item x="15"/>
        <item x="18"/>
        <item x="238"/>
        <item x="184"/>
        <item x="125"/>
        <item x="97"/>
        <item x="124"/>
        <item x="133"/>
        <item x="220"/>
        <item x="129"/>
        <item x="101"/>
        <item x="74"/>
        <item x="235"/>
        <item x="180"/>
        <item x="44"/>
        <item x="79"/>
        <item x="214"/>
        <item x="152"/>
        <item x="241"/>
        <item x="227"/>
        <item x="188"/>
        <item x="196"/>
        <item x="187"/>
        <item x="43"/>
        <item x="45"/>
        <item x="67"/>
        <item x="205"/>
        <item x="195"/>
        <item x="219"/>
        <item x="171"/>
        <item x="7"/>
        <item x="185"/>
        <item x="178"/>
        <item x="225"/>
        <item x="63"/>
        <item x="191"/>
        <item x="166"/>
        <item x="226"/>
        <item x="215"/>
        <item x="107"/>
        <item x="49"/>
        <item x="117"/>
        <item x="209"/>
        <item x="234"/>
        <item x="84"/>
        <item x="149"/>
        <item x="216"/>
        <item x="140"/>
        <item x="20"/>
        <item x="143"/>
        <item x="224"/>
        <item x="65"/>
        <item x="174"/>
        <item x="230"/>
        <item x="233"/>
        <item x="183"/>
        <item x="120"/>
        <item x="134"/>
        <item x="181"/>
        <item x="159"/>
        <item x="154"/>
        <item x="132"/>
        <item x="175"/>
        <item x="141"/>
        <item x="158"/>
        <item x="56"/>
        <item x="157"/>
        <item x="211"/>
        <item x="146"/>
        <item x="229"/>
        <item x="87"/>
        <item x="168"/>
        <item x="109"/>
        <item x="204"/>
        <item x="119"/>
        <item x="96"/>
        <item x="51"/>
        <item x="55"/>
        <item x="147"/>
        <item x="221"/>
        <item t="default"/>
      </items>
    </pivotField>
    <pivotField showAll="0">
      <items count="6">
        <item x="4"/>
        <item x="2"/>
        <item x="1"/>
        <item x="3"/>
        <item x="0"/>
        <item t="default"/>
      </items>
    </pivotField>
    <pivotField showAll="0"/>
    <pivotField axis="axisPage" multipleItemSelectionAllowed="1" showAll="0">
      <items count="244">
        <item x="221"/>
        <item x="147"/>
        <item x="55"/>
        <item x="51"/>
        <item x="96"/>
        <item x="119"/>
        <item x="204"/>
        <item x="109"/>
        <item x="168"/>
        <item x="87"/>
        <item h="1" x="229"/>
        <item h="1" x="146"/>
        <item h="1" x="211"/>
        <item h="1" x="157"/>
        <item h="1" x="56"/>
        <item h="1" x="158"/>
        <item h="1" x="141"/>
        <item h="1" x="175"/>
        <item h="1" x="132"/>
        <item h="1" x="154"/>
        <item h="1" x="159"/>
        <item h="1" x="181"/>
        <item h="1" x="134"/>
        <item h="1" x="120"/>
        <item h="1" x="183"/>
        <item h="1" x="233"/>
        <item h="1" x="230"/>
        <item h="1" x="174"/>
        <item h="1" x="65"/>
        <item h="1" x="224"/>
        <item h="1" x="143"/>
        <item h="1" x="20"/>
        <item h="1" x="140"/>
        <item h="1" x="216"/>
        <item h="1" x="149"/>
        <item h="1" x="84"/>
        <item h="1" x="234"/>
        <item h="1" x="209"/>
        <item h="1" x="117"/>
        <item h="1" x="49"/>
        <item h="1" x="107"/>
        <item h="1" x="215"/>
        <item h="1" x="226"/>
        <item h="1" x="166"/>
        <item h="1" x="191"/>
        <item h="1" x="63"/>
        <item h="1" x="225"/>
        <item h="1" x="178"/>
        <item h="1" x="185"/>
        <item h="1" x="7"/>
        <item h="1" x="171"/>
        <item h="1" x="219"/>
        <item h="1" x="195"/>
        <item h="1" x="205"/>
        <item h="1" x="67"/>
        <item h="1" x="45"/>
        <item h="1" x="43"/>
        <item h="1" x="187"/>
        <item h="1" x="196"/>
        <item h="1" x="188"/>
        <item h="1" x="227"/>
        <item h="1" x="241"/>
        <item h="1" x="152"/>
        <item h="1" x="214"/>
        <item h="1" x="79"/>
        <item h="1" x="44"/>
        <item h="1" x="180"/>
        <item h="1" x="235"/>
        <item h="1" x="74"/>
        <item h="1" x="101"/>
        <item h="1" x="129"/>
        <item h="1" x="220"/>
        <item h="1" x="133"/>
        <item h="1" x="124"/>
        <item h="1" x="97"/>
        <item h="1" x="125"/>
        <item h="1" x="184"/>
        <item h="1" x="238"/>
        <item h="1" x="18"/>
        <item h="1" x="15"/>
        <item h="1" x="199"/>
        <item h="1" x="217"/>
        <item h="1" x="231"/>
        <item h="1" x="142"/>
        <item h="1" x="162"/>
        <item h="1" x="127"/>
        <item h="1" x="58"/>
        <item h="1" x="93"/>
        <item h="1" x="237"/>
        <item h="1" x="39"/>
        <item h="1" x="48"/>
        <item h="1" x="69"/>
        <item h="1" x="71"/>
        <item h="1" x="88"/>
        <item h="1" x="198"/>
        <item h="1" x="91"/>
        <item h="1" x="135"/>
        <item h="1" x="78"/>
        <item h="1" x="167"/>
        <item h="1" x="46"/>
        <item h="1" x="92"/>
        <item h="1" x="105"/>
        <item h="1" x="22"/>
        <item h="1" x="62"/>
        <item h="1" x="100"/>
        <item h="1" x="213"/>
        <item h="1" x="28"/>
        <item h="1" x="19"/>
        <item h="1" x="50"/>
        <item h="1" x="26"/>
        <item h="1" x="116"/>
        <item h="1" x="242"/>
        <item h="1" x="207"/>
        <item h="1" x="13"/>
        <item h="1" x="228"/>
        <item h="1" x="156"/>
        <item h="1" x="240"/>
        <item h="1" x="54"/>
        <item h="1" x="17"/>
        <item h="1" x="179"/>
        <item h="1" x="113"/>
        <item h="1" x="208"/>
        <item h="1" x="75"/>
        <item h="1" x="123"/>
        <item h="1" x="139"/>
        <item h="1" x="177"/>
        <item h="1" x="203"/>
        <item h="1" x="112"/>
        <item h="1" x="194"/>
        <item h="1" x="68"/>
        <item h="1" x="23"/>
        <item h="1" x="121"/>
        <item h="1" x="83"/>
        <item h="1" x="176"/>
        <item h="1" x="64"/>
        <item h="1" x="193"/>
        <item h="1" x="42"/>
        <item h="1" x="148"/>
        <item h="1" x="210"/>
        <item h="1" x="53"/>
        <item h="1" x="36"/>
        <item h="1" x="131"/>
        <item h="1" x="190"/>
        <item h="1" x="66"/>
        <item h="1" x="173"/>
        <item h="1" x="153"/>
        <item h="1" x="110"/>
        <item h="1" x="145"/>
        <item h="1" x="52"/>
        <item h="1" x="1"/>
        <item h="1" x="115"/>
        <item h="1" x="31"/>
        <item h="1" x="40"/>
        <item h="1" x="59"/>
        <item h="1" x="170"/>
        <item h="1" x="72"/>
        <item h="1" x="99"/>
        <item h="1" x="98"/>
        <item h="1" x="155"/>
        <item h="1" x="77"/>
        <item h="1" x="76"/>
        <item h="1" x="200"/>
        <item h="1" x="137"/>
        <item h="1" x="73"/>
        <item h="1" x="47"/>
        <item h="1" x="150"/>
        <item h="1" x="61"/>
        <item h="1" x="160"/>
        <item h="1" x="4"/>
        <item h="1" x="161"/>
        <item h="1" x="102"/>
        <item h="1" x="12"/>
        <item h="1" x="239"/>
        <item h="1" x="165"/>
        <item h="1" x="95"/>
        <item h="1" x="70"/>
        <item h="1" x="16"/>
        <item h="1" x="10"/>
        <item h="1" x="25"/>
        <item h="1" x="57"/>
        <item h="1" x="3"/>
        <item h="1" x="118"/>
        <item h="1" x="5"/>
        <item h="1" x="122"/>
        <item h="1" x="21"/>
        <item h="1" x="164"/>
        <item h="1" x="14"/>
        <item h="1" x="151"/>
        <item h="1" x="0"/>
        <item h="1" x="104"/>
        <item h="1" x="212"/>
        <item h="1" x="136"/>
        <item h="1" x="189"/>
        <item h="1" x="41"/>
        <item h="1" x="8"/>
        <item h="1" x="80"/>
        <item h="1" x="6"/>
        <item h="1" x="144"/>
        <item h="1" x="111"/>
        <item h="1" x="186"/>
        <item h="1" x="236"/>
        <item h="1" x="82"/>
        <item h="1" x="60"/>
        <item h="1" x="163"/>
        <item h="1" x="81"/>
        <item h="1" x="222"/>
        <item h="1" x="202"/>
        <item h="1" x="85"/>
        <item h="1" x="27"/>
        <item h="1" x="126"/>
        <item h="1" x="218"/>
        <item h="1" x="32"/>
        <item h="1" x="138"/>
        <item h="1" x="94"/>
        <item h="1" x="90"/>
        <item h="1" x="169"/>
        <item h="1" x="206"/>
        <item h="1" x="108"/>
        <item h="1" x="86"/>
        <item h="1" x="24"/>
        <item h="1" x="201"/>
        <item h="1" x="197"/>
        <item h="1" x="114"/>
        <item h="1" x="130"/>
        <item h="1" x="89"/>
        <item h="1" x="9"/>
        <item h="1" x="38"/>
        <item h="1" x="11"/>
        <item h="1" x="172"/>
        <item h="1" x="128"/>
        <item h="1" x="232"/>
        <item h="1" x="33"/>
        <item h="1" x="223"/>
        <item h="1" x="182"/>
        <item h="1" x="192"/>
        <item h="1" x="29"/>
        <item h="1" x="103"/>
        <item h="1" x="30"/>
        <item h="1" x="37"/>
        <item h="1" x="34"/>
        <item h="1" x="106"/>
        <item h="1" x="35"/>
        <item h="1" x="2"/>
        <item t="default"/>
      </items>
    </pivotField>
  </pivotFields>
  <rowFields count="1">
    <field x="0"/>
  </rowFields>
  <rowItems count="11">
    <i>
      <x v="17"/>
    </i>
    <i>
      <x v="38"/>
    </i>
    <i>
      <x v="48"/>
    </i>
    <i>
      <x v="85"/>
    </i>
    <i>
      <x v="95"/>
    </i>
    <i>
      <x v="109"/>
    </i>
    <i>
      <x v="126"/>
    </i>
    <i>
      <x v="223"/>
    </i>
    <i>
      <x v="224"/>
    </i>
    <i>
      <x v="229"/>
    </i>
    <i t="grand">
      <x/>
    </i>
  </rowItems>
  <colItems count="1">
    <i/>
  </colItems>
  <pageFields count="1">
    <pageField fld="12" hier="-1"/>
  </pageFields>
  <dataFields count="1">
    <dataField name=" Price (USD)" fld="2" baseField="0" baseItem="17"/>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0C41CB-F424-41DE-A776-A35EED001D7D}"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 Coin Name">
  <location ref="B2:C13" firstHeaderRow="1" firstDataRow="1" firstDataCol="1"/>
  <pivotFields count="13">
    <pivotField axis="axisRow" showAll="0" measureFilter="1" sortType="ascending">
      <items count="264">
        <item x="27"/>
        <item x="154"/>
        <item x="58"/>
        <item x="51"/>
        <item x="233"/>
        <item x="47"/>
        <item x="204"/>
        <item x="73"/>
        <item x="90"/>
        <item x="63"/>
        <item x="37"/>
        <item x="93"/>
        <item x="62"/>
        <item x="232"/>
        <item x="117"/>
        <item x="254"/>
        <item x="49"/>
        <item x="160"/>
        <item x="118"/>
        <item x="56"/>
        <item x="52"/>
        <item x="256"/>
        <item x="123"/>
        <item x="34"/>
        <item x="130"/>
        <item x="0"/>
        <item x="11"/>
        <item x="143"/>
        <item x="22"/>
        <item x="25"/>
        <item x="67"/>
        <item x="137"/>
        <item x="4"/>
        <item x="82"/>
        <item x="173"/>
        <item x="121"/>
        <item x="40"/>
        <item x="187"/>
        <item x="101"/>
        <item x="32"/>
        <item x="12"/>
        <item x="59"/>
        <item x="234"/>
        <item x="217"/>
        <item x="23"/>
        <item x="226"/>
        <item x="92"/>
        <item x="236"/>
        <item x="238"/>
        <item x="108"/>
        <item x="255"/>
        <item x="103"/>
        <item x="188"/>
        <item x="44"/>
        <item x="104"/>
        <item x="28"/>
        <item x="134"/>
        <item x="178"/>
        <item x="170"/>
        <item x="231"/>
        <item x="15"/>
        <item x="147"/>
        <item x="98"/>
        <item x="20"/>
        <item x="115"/>
        <item x="197"/>
        <item x="247"/>
        <item x="168"/>
        <item x="50"/>
        <item x="241"/>
        <item x="8"/>
        <item x="95"/>
        <item x="209"/>
        <item x="258"/>
        <item x="184"/>
        <item x="111"/>
        <item x="149"/>
        <item x="250"/>
        <item x="68"/>
        <item x="16"/>
        <item x="1"/>
        <item x="71"/>
        <item x="167"/>
        <item x="106"/>
        <item x="214"/>
        <item x="181"/>
        <item x="124"/>
        <item x="26"/>
        <item x="85"/>
        <item x="65"/>
        <item x="61"/>
        <item x="182"/>
        <item x="175"/>
        <item x="164"/>
        <item x="194"/>
        <item x="53"/>
        <item x="35"/>
        <item x="159"/>
        <item x="109"/>
        <item x="70"/>
        <item x="17"/>
        <item x="202"/>
        <item x="69"/>
        <item x="113"/>
        <item x="198"/>
        <item x="139"/>
        <item x="122"/>
        <item x="141"/>
        <item x="227"/>
        <item x="218"/>
        <item x="30"/>
        <item x="9"/>
        <item x="144"/>
        <item x="200"/>
        <item x="80"/>
        <item x="225"/>
        <item x="18"/>
        <item x="100"/>
        <item x="186"/>
        <item x="54"/>
        <item x="14"/>
        <item x="251"/>
        <item x="33"/>
        <item x="135"/>
        <item x="201"/>
        <item x="127"/>
        <item x="116"/>
        <item x="88"/>
        <item x="38"/>
        <item x="24"/>
        <item x="189"/>
        <item x="260"/>
        <item x="72"/>
        <item x="162"/>
        <item x="155"/>
        <item x="207"/>
        <item x="96"/>
        <item x="158"/>
        <item x="105"/>
        <item x="223"/>
        <item x="176"/>
        <item x="86"/>
        <item x="172"/>
        <item x="237"/>
        <item x="77"/>
        <item x="163"/>
        <item x="221"/>
        <item x="257"/>
        <item x="21"/>
        <item x="13"/>
        <item x="243"/>
        <item x="205"/>
        <item x="46"/>
        <item x="157"/>
        <item x="42"/>
        <item x="148"/>
        <item x="228"/>
        <item x="133"/>
        <item x="235"/>
        <item x="153"/>
        <item x="210"/>
        <item x="183"/>
        <item x="190"/>
        <item x="31"/>
        <item x="48"/>
        <item x="76"/>
        <item x="230"/>
        <item x="174"/>
        <item x="249"/>
        <item x="110"/>
        <item x="114"/>
        <item x="242"/>
        <item x="136"/>
        <item x="79"/>
        <item x="151"/>
        <item x="262"/>
        <item x="245"/>
        <item x="145"/>
        <item x="89"/>
        <item x="97"/>
        <item x="165"/>
        <item x="166"/>
        <item x="140"/>
        <item x="129"/>
        <item x="126"/>
        <item x="253"/>
        <item x="142"/>
        <item x="219"/>
        <item x="215"/>
        <item x="74"/>
        <item x="171"/>
        <item x="261"/>
        <item x="87"/>
        <item x="185"/>
        <item x="211"/>
        <item x="150"/>
        <item x="213"/>
        <item x="224"/>
        <item x="29"/>
        <item x="248"/>
        <item x="203"/>
        <item x="193"/>
        <item x="146"/>
        <item x="191"/>
        <item x="132"/>
        <item x="41"/>
        <item x="216"/>
        <item x="43"/>
        <item x="75"/>
        <item x="196"/>
        <item x="246"/>
        <item x="78"/>
        <item x="6"/>
        <item x="81"/>
        <item x="120"/>
        <item x="36"/>
        <item x="64"/>
        <item x="55"/>
        <item x="199"/>
        <item x="102"/>
        <item x="252"/>
        <item x="179"/>
        <item x="259"/>
        <item x="128"/>
        <item x="91"/>
        <item x="240"/>
        <item x="177"/>
        <item x="39"/>
        <item x="138"/>
        <item x="57"/>
        <item x="99"/>
        <item x="222"/>
        <item x="94"/>
        <item x="60"/>
        <item x="83"/>
        <item x="2"/>
        <item x="152"/>
        <item x="229"/>
        <item x="239"/>
        <item x="7"/>
        <item x="180"/>
        <item x="10"/>
        <item x="112"/>
        <item x="5"/>
        <item x="206"/>
        <item x="220"/>
        <item x="66"/>
        <item x="208"/>
        <item x="161"/>
        <item x="125"/>
        <item x="192"/>
        <item x="119"/>
        <item x="169"/>
        <item x="107"/>
        <item x="156"/>
        <item x="131"/>
        <item x="45"/>
        <item x="3"/>
        <item x="244"/>
        <item x="19"/>
        <item x="84"/>
        <item x="195"/>
        <item x="2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items count="6">
        <item x="4"/>
        <item x="2"/>
        <item x="1"/>
        <item x="3"/>
        <item x="0"/>
        <item t="default"/>
      </items>
    </pivotField>
    <pivotField showAll="0"/>
    <pivotField showAll="0"/>
  </pivotFields>
  <rowFields count="1">
    <field x="0"/>
  </rowFields>
  <rowItems count="11">
    <i>
      <x v="224"/>
    </i>
    <i>
      <x v="85"/>
    </i>
    <i>
      <x v="126"/>
    </i>
    <i>
      <x v="109"/>
    </i>
    <i>
      <x v="223"/>
    </i>
    <i>
      <x v="38"/>
    </i>
    <i>
      <x v="95"/>
    </i>
    <i>
      <x v="229"/>
    </i>
    <i>
      <x v="17"/>
    </i>
    <i>
      <x v="48"/>
    </i>
    <i t="grand">
      <x/>
    </i>
  </rowItems>
  <colItems count="1">
    <i/>
  </colItems>
  <dataFields count="1">
    <dataField name=" Average Downfall %" fld="9" subtotal="max" baseField="0" baseItem="17"/>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219A3A1-35C2-45C3-9544-4F508DE4E9C1}" autoFormatId="16" applyNumberFormats="0" applyBorderFormats="0" applyFontFormats="0" applyPatternFormats="0" applyAlignmentFormats="0" applyWidthHeightFormats="0">
  <queryTableRefresh nextId="14" unboundColumnsRight="1">
    <queryTableFields count="13">
      <queryTableField id="1" name="Coin Name" tableColumnId="1"/>
      <queryTableField id="2" name="Symbol" tableColumnId="2"/>
      <queryTableField id="3" name="Price (USD)" tableColumnId="3"/>
      <queryTableField id="4" name="1h Change (%)" tableColumnId="4"/>
      <queryTableField id="5" name="24h Change (%)" tableColumnId="5"/>
      <queryTableField id="6" name="7d Change (%)" tableColumnId="6"/>
      <queryTableField id="7" name="Market Cap" tableColumnId="7"/>
      <queryTableField id="8" name="Volume (24h) USD" tableColumnId="8"/>
      <queryTableField id="9" name="Circulating Supply" tableColumnId="9"/>
      <queryTableField id="10" name="Average Downfall %" tableColumnId="10"/>
      <queryTableField id="11" name="Price Range" tableColumnId="11"/>
      <queryTableField id="12" name="Curculating_Supply($)"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265E363E-DD7E-46F1-92C0-8904397D45D1}" sourceName="Price Range">
  <pivotTables>
    <pivotTable tabId="3" name="PivotTable1"/>
    <pivotTable tabId="3" name="PivotTable2"/>
    <pivotTable tabId="3" name="PivotTable3"/>
  </pivotTables>
  <data>
    <tabular pivotCacheId="832939219">
      <items count="5">
        <i x="4" s="1"/>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xr10:uid="{0FD5C3BD-3A3D-40CF-9F91-6083492AA835}" cache="Slicer_Price_Range" caption="Price Rang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1" xr10:uid="{1068F69C-801D-412B-B3C6-82764CFF58C1}" cache="Slicer_Price_Range" caption="Price Rang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A91550-1B80-4EE3-8B16-22B3E14775BB}" name="raw_data__2" displayName="raw_data__2" ref="A1:M264" tableType="queryTable" totalsRowShown="0">
  <autoFilter ref="A1:M264" xr:uid="{C4A91550-1B80-4EE3-8B16-22B3E14775BB}"/>
  <tableColumns count="13">
    <tableColumn id="1" xr3:uid="{CB50166C-3BD6-4F6B-912D-A8FF41B7F828}" uniqueName="1" name="Coin Name" queryTableFieldId="1" dataDxfId="4"/>
    <tableColumn id="2" xr3:uid="{39FF0609-0AC7-49BE-A20C-C1DE1130A1EC}" uniqueName="2" name="Symbol" queryTableFieldId="2" dataDxfId="3"/>
    <tableColumn id="3" xr3:uid="{152F4DC0-5FD5-4F4A-BA3E-EBCF63513F11}" uniqueName="3" name="Price (USD)" queryTableFieldId="3"/>
    <tableColumn id="4" xr3:uid="{F9E160B1-2407-4CEB-807A-2CD49DA31EAC}" uniqueName="4" name="1h Change (%)" queryTableFieldId="4"/>
    <tableColumn id="5" xr3:uid="{ACE4C9CD-B6A2-440F-9398-BE8B500E0F3F}" uniqueName="5" name="24h Change (%)" queryTableFieldId="5"/>
    <tableColumn id="6" xr3:uid="{2ACEE3B3-9DA5-4343-9B05-DAF8DBACDBBE}" uniqueName="6" name="7d Change (%)" queryTableFieldId="6"/>
    <tableColumn id="7" xr3:uid="{0622B0CD-95E8-494C-8873-2ED24C65A6AB}" uniqueName="7" name="Market Cap" queryTableFieldId="7"/>
    <tableColumn id="8" xr3:uid="{92574B5E-0827-4580-AEFF-9E227E400510}" uniqueName="8" name="Volume (24h) USD" queryTableFieldId="8"/>
    <tableColumn id="9" xr3:uid="{7C37499C-951B-4A59-91FC-498DA3AC73B4}" uniqueName="9" name="Circulating Supply" queryTableFieldId="9" dataDxfId="2"/>
    <tableColumn id="10" xr3:uid="{C4AB5324-CB1B-41A0-9E66-A8997BCB5EEC}" uniqueName="10" name="Average Downfall %" queryTableFieldId="10"/>
    <tableColumn id="11" xr3:uid="{EEA67436-F97E-449E-A02B-03764CC12546}" uniqueName="11" name="Price Range" queryTableFieldId="11" dataDxfId="1"/>
    <tableColumn id="12" xr3:uid="{E6B3BF70-3F38-4CBA-A26A-5A6C46E17E54}" uniqueName="12" name="Curculating_Supply($)" queryTableFieldId="12"/>
    <tableColumn id="13" xr3:uid="{9DA1EEF4-D70B-4E6C-A102-BE973B23376A}" uniqueName="13" name="Rank_downfall(%)" queryTableFieldId="13" dataDxfId="0">
      <calculatedColumnFormula>IFERROR(RANK(J2,$J$2:$J$5000,0),"")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0"/>
  <sheetViews>
    <sheetView workbookViewId="0">
      <selection sqref="A1:A1048576"/>
    </sheetView>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t="s">
        <v>14</v>
      </c>
      <c r="E2" t="s">
        <v>15</v>
      </c>
      <c r="F2" t="s">
        <v>16</v>
      </c>
      <c r="G2" t="s">
        <v>17</v>
      </c>
      <c r="H2" t="s">
        <v>18</v>
      </c>
      <c r="I2" t="s">
        <v>19</v>
      </c>
      <c r="J2">
        <v>1.03</v>
      </c>
      <c r="K2" t="s">
        <v>20</v>
      </c>
    </row>
    <row r="3" spans="1:11" x14ac:dyDescent="0.35">
      <c r="A3" t="s">
        <v>21</v>
      </c>
      <c r="B3" t="s">
        <v>22</v>
      </c>
      <c r="C3" t="s">
        <v>23</v>
      </c>
      <c r="D3" t="s">
        <v>24</v>
      </c>
      <c r="E3" t="s">
        <v>25</v>
      </c>
      <c r="F3" t="s">
        <v>26</v>
      </c>
      <c r="G3" t="s">
        <v>27</v>
      </c>
      <c r="H3" t="s">
        <v>28</v>
      </c>
      <c r="I3" t="s">
        <v>29</v>
      </c>
      <c r="J3">
        <v>1.6633333333333331</v>
      </c>
      <c r="K3" t="s">
        <v>20</v>
      </c>
    </row>
    <row r="4" spans="1:11" x14ac:dyDescent="0.35">
      <c r="A4" t="s">
        <v>30</v>
      </c>
      <c r="B4" t="s">
        <v>31</v>
      </c>
      <c r="C4" t="s">
        <v>32</v>
      </c>
      <c r="D4" t="s">
        <v>33</v>
      </c>
      <c r="E4" t="s">
        <v>33</v>
      </c>
      <c r="F4" t="s">
        <v>34</v>
      </c>
      <c r="G4" t="s">
        <v>35</v>
      </c>
      <c r="H4" t="s">
        <v>36</v>
      </c>
      <c r="I4" t="s">
        <v>37</v>
      </c>
      <c r="J4">
        <v>1.3333333333333331E-2</v>
      </c>
      <c r="K4" t="s">
        <v>38</v>
      </c>
    </row>
    <row r="5" spans="1:11" x14ac:dyDescent="0.35">
      <c r="A5" t="s">
        <v>39</v>
      </c>
      <c r="B5" t="s">
        <v>39</v>
      </c>
      <c r="C5" t="s">
        <v>40</v>
      </c>
      <c r="D5" t="s">
        <v>41</v>
      </c>
      <c r="E5" t="s">
        <v>41</v>
      </c>
      <c r="F5" t="s">
        <v>42</v>
      </c>
      <c r="G5" t="s">
        <v>43</v>
      </c>
      <c r="H5" t="s">
        <v>44</v>
      </c>
      <c r="I5" t="s">
        <v>45</v>
      </c>
      <c r="J5">
        <v>1.1200000000000001</v>
      </c>
      <c r="K5" t="s">
        <v>38</v>
      </c>
    </row>
    <row r="6" spans="1:11" x14ac:dyDescent="0.35">
      <c r="A6" t="s">
        <v>46</v>
      </c>
      <c r="B6" t="s">
        <v>46</v>
      </c>
      <c r="C6" t="s">
        <v>47</v>
      </c>
      <c r="D6" t="s">
        <v>48</v>
      </c>
      <c r="E6" t="s">
        <v>49</v>
      </c>
      <c r="F6" t="s">
        <v>50</v>
      </c>
      <c r="G6" t="s">
        <v>51</v>
      </c>
      <c r="H6" t="s">
        <v>52</v>
      </c>
      <c r="I6" t="s">
        <v>53</v>
      </c>
      <c r="J6">
        <v>1.253333333333333</v>
      </c>
      <c r="K6" t="s">
        <v>20</v>
      </c>
    </row>
    <row r="7" spans="1:11" x14ac:dyDescent="0.35">
      <c r="A7" t="s">
        <v>54</v>
      </c>
      <c r="B7" t="s">
        <v>54</v>
      </c>
      <c r="C7" t="s">
        <v>55</v>
      </c>
      <c r="D7" t="s">
        <v>48</v>
      </c>
      <c r="E7" t="s">
        <v>33</v>
      </c>
      <c r="F7" t="s">
        <v>56</v>
      </c>
      <c r="G7" t="s">
        <v>57</v>
      </c>
      <c r="H7" t="s">
        <v>58</v>
      </c>
      <c r="I7" t="s">
        <v>59</v>
      </c>
      <c r="J7">
        <v>1.3333333333333331E-2</v>
      </c>
      <c r="K7" t="s">
        <v>38</v>
      </c>
    </row>
    <row r="8" spans="1:11" x14ac:dyDescent="0.35">
      <c r="A8" t="s">
        <v>60</v>
      </c>
      <c r="B8" t="s">
        <v>61</v>
      </c>
      <c r="C8" t="s">
        <v>62</v>
      </c>
      <c r="D8" t="s">
        <v>63</v>
      </c>
      <c r="E8" t="s">
        <v>64</v>
      </c>
      <c r="F8" t="s">
        <v>65</v>
      </c>
      <c r="G8" t="s">
        <v>66</v>
      </c>
      <c r="H8" t="s">
        <v>67</v>
      </c>
      <c r="I8" t="s">
        <v>68</v>
      </c>
      <c r="J8">
        <v>1.0966666666666669</v>
      </c>
      <c r="K8" t="s">
        <v>20</v>
      </c>
    </row>
    <row r="9" spans="1:11" x14ac:dyDescent="0.35">
      <c r="A9" t="s">
        <v>69</v>
      </c>
      <c r="B9" t="s">
        <v>70</v>
      </c>
      <c r="C9" t="s">
        <v>71</v>
      </c>
      <c r="D9" t="s">
        <v>14</v>
      </c>
      <c r="E9" t="s">
        <v>72</v>
      </c>
      <c r="F9" t="s">
        <v>73</v>
      </c>
      <c r="G9" t="s">
        <v>74</v>
      </c>
      <c r="H9" t="s">
        <v>75</v>
      </c>
      <c r="I9" t="s">
        <v>76</v>
      </c>
      <c r="J9">
        <v>0.83000000000000007</v>
      </c>
      <c r="K9" t="s">
        <v>77</v>
      </c>
    </row>
    <row r="10" spans="1:11" x14ac:dyDescent="0.35">
      <c r="A10" t="s">
        <v>78</v>
      </c>
      <c r="B10" t="s">
        <v>79</v>
      </c>
      <c r="C10" t="s">
        <v>80</v>
      </c>
      <c r="D10" t="s">
        <v>81</v>
      </c>
      <c r="E10" t="s">
        <v>82</v>
      </c>
      <c r="F10" t="s">
        <v>83</v>
      </c>
      <c r="G10" t="s">
        <v>84</v>
      </c>
      <c r="H10" t="s">
        <v>85</v>
      </c>
      <c r="I10" t="s">
        <v>86</v>
      </c>
      <c r="J10">
        <v>6.4266666666666667</v>
      </c>
      <c r="K10" t="s">
        <v>77</v>
      </c>
    </row>
    <row r="11" spans="1:11" x14ac:dyDescent="0.35">
      <c r="A11" t="s">
        <v>87</v>
      </c>
      <c r="B11" t="s">
        <v>88</v>
      </c>
      <c r="C11" t="s">
        <v>89</v>
      </c>
      <c r="D11" t="s">
        <v>90</v>
      </c>
      <c r="E11" t="s">
        <v>91</v>
      </c>
      <c r="F11" t="s">
        <v>92</v>
      </c>
      <c r="G11" t="s">
        <v>93</v>
      </c>
      <c r="H11" t="s">
        <v>94</v>
      </c>
      <c r="I11" t="s">
        <v>95</v>
      </c>
      <c r="J11">
        <v>0.89</v>
      </c>
      <c r="K11" t="s">
        <v>96</v>
      </c>
    </row>
    <row r="12" spans="1:11" x14ac:dyDescent="0.35">
      <c r="A12" t="s">
        <v>97</v>
      </c>
      <c r="B12" t="s">
        <v>98</v>
      </c>
      <c r="C12" t="s">
        <v>99</v>
      </c>
      <c r="D12" t="s">
        <v>100</v>
      </c>
      <c r="E12" t="s">
        <v>101</v>
      </c>
      <c r="F12" t="s">
        <v>102</v>
      </c>
      <c r="G12" t="s">
        <v>103</v>
      </c>
      <c r="H12" t="s">
        <v>104</v>
      </c>
      <c r="I12" t="s">
        <v>105</v>
      </c>
      <c r="J12">
        <v>0.30333333333333329</v>
      </c>
      <c r="K12" t="s">
        <v>96</v>
      </c>
    </row>
    <row r="13" spans="1:11" x14ac:dyDescent="0.35">
      <c r="A13" t="s">
        <v>106</v>
      </c>
      <c r="B13" t="s">
        <v>107</v>
      </c>
      <c r="C13" t="s">
        <v>108</v>
      </c>
      <c r="D13" t="s">
        <v>109</v>
      </c>
      <c r="E13" t="s">
        <v>110</v>
      </c>
      <c r="F13" t="s">
        <v>111</v>
      </c>
      <c r="G13" t="s">
        <v>112</v>
      </c>
      <c r="H13" t="s">
        <v>113</v>
      </c>
      <c r="I13" t="s">
        <v>19</v>
      </c>
      <c r="J13">
        <v>1.18</v>
      </c>
      <c r="K13" t="s">
        <v>20</v>
      </c>
    </row>
    <row r="14" spans="1:11" x14ac:dyDescent="0.35">
      <c r="A14" t="s">
        <v>114</v>
      </c>
      <c r="B14" t="s">
        <v>115</v>
      </c>
      <c r="C14" t="s">
        <v>116</v>
      </c>
      <c r="D14" t="s">
        <v>64</v>
      </c>
      <c r="E14" t="s">
        <v>24</v>
      </c>
      <c r="F14" t="s">
        <v>117</v>
      </c>
      <c r="G14" t="s">
        <v>118</v>
      </c>
      <c r="H14" t="s">
        <v>119</v>
      </c>
      <c r="I14" t="s">
        <v>120</v>
      </c>
      <c r="J14">
        <v>0.26</v>
      </c>
      <c r="K14" t="s">
        <v>77</v>
      </c>
    </row>
    <row r="15" spans="1:11" x14ac:dyDescent="0.35">
      <c r="A15" t="s">
        <v>121</v>
      </c>
      <c r="B15" t="s">
        <v>122</v>
      </c>
      <c r="C15" t="s">
        <v>123</v>
      </c>
      <c r="D15" t="s">
        <v>117</v>
      </c>
      <c r="E15" t="s">
        <v>124</v>
      </c>
      <c r="F15" t="s">
        <v>125</v>
      </c>
      <c r="G15" t="s">
        <v>126</v>
      </c>
      <c r="H15" t="s">
        <v>127</v>
      </c>
      <c r="I15" t="s">
        <v>128</v>
      </c>
      <c r="J15">
        <v>1.216666666666667</v>
      </c>
      <c r="K15" t="s">
        <v>20</v>
      </c>
    </row>
    <row r="16" spans="1:11" x14ac:dyDescent="0.35">
      <c r="A16" t="s">
        <v>129</v>
      </c>
      <c r="B16" t="s">
        <v>130</v>
      </c>
      <c r="C16" t="s">
        <v>131</v>
      </c>
      <c r="D16" t="s">
        <v>132</v>
      </c>
      <c r="E16" t="s">
        <v>133</v>
      </c>
      <c r="F16" t="s">
        <v>134</v>
      </c>
      <c r="G16" t="s">
        <v>135</v>
      </c>
      <c r="H16" t="s">
        <v>136</v>
      </c>
      <c r="I16" t="s">
        <v>137</v>
      </c>
      <c r="J16">
        <v>2.6766666666666672</v>
      </c>
      <c r="K16" t="s">
        <v>38</v>
      </c>
    </row>
    <row r="17" spans="1:11" x14ac:dyDescent="0.35">
      <c r="A17" t="s">
        <v>138</v>
      </c>
      <c r="B17" t="s">
        <v>139</v>
      </c>
      <c r="C17" t="s">
        <v>140</v>
      </c>
      <c r="D17" t="s">
        <v>141</v>
      </c>
      <c r="E17" t="s">
        <v>142</v>
      </c>
      <c r="F17" t="s">
        <v>143</v>
      </c>
      <c r="G17" t="s">
        <v>144</v>
      </c>
      <c r="H17" t="s">
        <v>145</v>
      </c>
      <c r="I17" t="s">
        <v>146</v>
      </c>
      <c r="J17">
        <v>1.05</v>
      </c>
      <c r="K17" t="s">
        <v>77</v>
      </c>
    </row>
    <row r="18" spans="1:11" x14ac:dyDescent="0.35">
      <c r="A18" t="s">
        <v>147</v>
      </c>
      <c r="B18" t="s">
        <v>148</v>
      </c>
      <c r="C18" t="s">
        <v>149</v>
      </c>
      <c r="D18" t="s">
        <v>150</v>
      </c>
      <c r="E18" t="s">
        <v>151</v>
      </c>
      <c r="F18" t="s">
        <v>152</v>
      </c>
      <c r="G18" t="s">
        <v>153</v>
      </c>
      <c r="H18" t="s">
        <v>154</v>
      </c>
      <c r="I18" t="s">
        <v>155</v>
      </c>
      <c r="J18">
        <v>4.51</v>
      </c>
      <c r="K18" t="s">
        <v>77</v>
      </c>
    </row>
    <row r="19" spans="1:11" x14ac:dyDescent="0.35">
      <c r="A19" t="s">
        <v>156</v>
      </c>
      <c r="B19" t="s">
        <v>157</v>
      </c>
      <c r="C19" t="s">
        <v>158</v>
      </c>
      <c r="D19" t="s">
        <v>159</v>
      </c>
      <c r="E19" t="s">
        <v>160</v>
      </c>
      <c r="F19" t="s">
        <v>161</v>
      </c>
      <c r="G19" t="s">
        <v>162</v>
      </c>
      <c r="H19" t="s">
        <v>163</v>
      </c>
      <c r="I19" t="s">
        <v>164</v>
      </c>
      <c r="J19">
        <v>1.186666666666667</v>
      </c>
      <c r="K19" t="s">
        <v>20</v>
      </c>
    </row>
    <row r="20" spans="1:11" x14ac:dyDescent="0.35">
      <c r="A20" t="s">
        <v>165</v>
      </c>
      <c r="B20" t="s">
        <v>166</v>
      </c>
      <c r="C20" t="s">
        <v>167</v>
      </c>
      <c r="D20" t="s">
        <v>48</v>
      </c>
      <c r="E20" t="s">
        <v>168</v>
      </c>
      <c r="F20" t="s">
        <v>169</v>
      </c>
      <c r="G20" t="s">
        <v>170</v>
      </c>
      <c r="H20" t="s">
        <v>171</v>
      </c>
      <c r="I20" t="s">
        <v>172</v>
      </c>
      <c r="J20">
        <v>2.6133333333333328</v>
      </c>
      <c r="K20" t="s">
        <v>77</v>
      </c>
    </row>
    <row r="21" spans="1:11" x14ac:dyDescent="0.35">
      <c r="A21" t="s">
        <v>173</v>
      </c>
      <c r="B21" t="s">
        <v>174</v>
      </c>
      <c r="C21" t="s">
        <v>175</v>
      </c>
      <c r="D21" t="s">
        <v>176</v>
      </c>
      <c r="E21" t="s">
        <v>177</v>
      </c>
      <c r="F21" t="s">
        <v>178</v>
      </c>
      <c r="G21" t="s">
        <v>179</v>
      </c>
      <c r="H21" t="s">
        <v>180</v>
      </c>
      <c r="I21" t="s">
        <v>181</v>
      </c>
      <c r="J21">
        <v>4.5766666666666671</v>
      </c>
      <c r="K21" t="s">
        <v>182</v>
      </c>
    </row>
    <row r="22" spans="1:11" x14ac:dyDescent="0.35">
      <c r="A22" t="s">
        <v>183</v>
      </c>
      <c r="B22" t="s">
        <v>184</v>
      </c>
      <c r="C22" t="s">
        <v>185</v>
      </c>
      <c r="D22" t="s">
        <v>34</v>
      </c>
      <c r="E22" t="s">
        <v>176</v>
      </c>
      <c r="F22" t="s">
        <v>186</v>
      </c>
      <c r="G22" t="s">
        <v>187</v>
      </c>
      <c r="H22" t="s">
        <v>188</v>
      </c>
      <c r="I22" t="s">
        <v>189</v>
      </c>
      <c r="J22">
        <v>2.813333333333333</v>
      </c>
      <c r="K22" t="s">
        <v>96</v>
      </c>
    </row>
    <row r="23" spans="1:11" x14ac:dyDescent="0.35">
      <c r="A23" t="s">
        <v>190</v>
      </c>
      <c r="B23" t="s">
        <v>191</v>
      </c>
      <c r="C23" t="s">
        <v>192</v>
      </c>
      <c r="D23" t="s">
        <v>193</v>
      </c>
      <c r="E23" t="s">
        <v>194</v>
      </c>
      <c r="F23" t="s">
        <v>195</v>
      </c>
      <c r="G23" t="s">
        <v>196</v>
      </c>
      <c r="H23" t="s">
        <v>197</v>
      </c>
      <c r="I23" t="s">
        <v>198</v>
      </c>
      <c r="J23">
        <v>9.0566666666666666</v>
      </c>
      <c r="K23" t="s">
        <v>182</v>
      </c>
    </row>
    <row r="24" spans="1:11" x14ac:dyDescent="0.35">
      <c r="A24" t="s">
        <v>199</v>
      </c>
      <c r="B24" t="s">
        <v>200</v>
      </c>
      <c r="C24" t="s">
        <v>201</v>
      </c>
      <c r="D24" t="s">
        <v>202</v>
      </c>
      <c r="E24" t="s">
        <v>203</v>
      </c>
      <c r="F24" t="s">
        <v>204</v>
      </c>
      <c r="G24" t="s">
        <v>205</v>
      </c>
      <c r="H24" t="s">
        <v>206</v>
      </c>
      <c r="I24" t="s">
        <v>19</v>
      </c>
      <c r="J24">
        <v>1.083333333333333</v>
      </c>
      <c r="K24" t="s">
        <v>96</v>
      </c>
    </row>
    <row r="25" spans="1:11" x14ac:dyDescent="0.35">
      <c r="A25" t="s">
        <v>207</v>
      </c>
      <c r="B25" t="s">
        <v>208</v>
      </c>
      <c r="C25" t="s">
        <v>209</v>
      </c>
      <c r="D25" t="s">
        <v>109</v>
      </c>
      <c r="E25" t="s">
        <v>210</v>
      </c>
      <c r="F25" t="s">
        <v>211</v>
      </c>
      <c r="G25" t="s">
        <v>212</v>
      </c>
      <c r="H25" t="s">
        <v>213</v>
      </c>
      <c r="I25" t="s">
        <v>214</v>
      </c>
      <c r="J25">
        <v>2.97</v>
      </c>
      <c r="K25" t="s">
        <v>77</v>
      </c>
    </row>
    <row r="26" spans="1:11" x14ac:dyDescent="0.35">
      <c r="A26" t="s">
        <v>215</v>
      </c>
      <c r="B26" t="s">
        <v>216</v>
      </c>
      <c r="C26" t="s">
        <v>217</v>
      </c>
      <c r="D26" t="s">
        <v>14</v>
      </c>
      <c r="E26" t="s">
        <v>218</v>
      </c>
      <c r="F26" t="s">
        <v>219</v>
      </c>
      <c r="G26" t="s">
        <v>220</v>
      </c>
      <c r="H26" t="s">
        <v>221</v>
      </c>
      <c r="I26" t="s">
        <v>222</v>
      </c>
      <c r="J26">
        <v>2.083333333333333</v>
      </c>
      <c r="K26" t="s">
        <v>77</v>
      </c>
    </row>
    <row r="27" spans="1:11" x14ac:dyDescent="0.35">
      <c r="A27" t="s">
        <v>223</v>
      </c>
      <c r="B27" t="s">
        <v>224</v>
      </c>
      <c r="C27" t="s">
        <v>225</v>
      </c>
      <c r="D27" t="s">
        <v>34</v>
      </c>
      <c r="E27" t="s">
        <v>48</v>
      </c>
      <c r="F27" t="s">
        <v>226</v>
      </c>
      <c r="G27" t="s">
        <v>227</v>
      </c>
      <c r="H27" t="s">
        <v>228</v>
      </c>
      <c r="I27" t="s">
        <v>229</v>
      </c>
      <c r="J27">
        <v>0.42333333333333328</v>
      </c>
      <c r="K27" t="s">
        <v>77</v>
      </c>
    </row>
    <row r="28" spans="1:11" x14ac:dyDescent="0.35">
      <c r="A28" t="s">
        <v>230</v>
      </c>
      <c r="B28" t="s">
        <v>230</v>
      </c>
      <c r="C28" t="s">
        <v>231</v>
      </c>
      <c r="D28" t="s">
        <v>232</v>
      </c>
      <c r="E28" t="s">
        <v>233</v>
      </c>
      <c r="F28" t="s">
        <v>49</v>
      </c>
      <c r="G28" t="s">
        <v>234</v>
      </c>
      <c r="H28" t="s">
        <v>235</v>
      </c>
      <c r="I28" t="s">
        <v>236</v>
      </c>
      <c r="J28">
        <v>1.17</v>
      </c>
      <c r="K28" t="s">
        <v>182</v>
      </c>
    </row>
    <row r="29" spans="1:11" x14ac:dyDescent="0.35">
      <c r="A29" t="s">
        <v>237</v>
      </c>
      <c r="B29" t="s">
        <v>238</v>
      </c>
      <c r="C29" t="s">
        <v>239</v>
      </c>
      <c r="D29" t="s">
        <v>240</v>
      </c>
      <c r="E29" t="s">
        <v>49</v>
      </c>
      <c r="F29" t="s">
        <v>241</v>
      </c>
      <c r="G29" t="s">
        <v>242</v>
      </c>
      <c r="H29" t="s">
        <v>243</v>
      </c>
      <c r="I29" t="s">
        <v>244</v>
      </c>
      <c r="J29">
        <v>2.7866666666666671</v>
      </c>
      <c r="K29" t="s">
        <v>77</v>
      </c>
    </row>
    <row r="30" spans="1:11" x14ac:dyDescent="0.35">
      <c r="A30" t="s">
        <v>245</v>
      </c>
      <c r="B30" t="s">
        <v>246</v>
      </c>
      <c r="C30" t="s">
        <v>247</v>
      </c>
      <c r="D30" t="s">
        <v>56</v>
      </c>
      <c r="E30" t="s">
        <v>248</v>
      </c>
      <c r="F30" t="s">
        <v>100</v>
      </c>
      <c r="G30" t="s">
        <v>249</v>
      </c>
      <c r="H30" t="s">
        <v>250</v>
      </c>
      <c r="I30" t="s">
        <v>251</v>
      </c>
      <c r="J30">
        <v>0.66</v>
      </c>
      <c r="K30" t="s">
        <v>77</v>
      </c>
    </row>
    <row r="31" spans="1:11" x14ac:dyDescent="0.35">
      <c r="A31" t="s">
        <v>252</v>
      </c>
      <c r="B31" t="s">
        <v>253</v>
      </c>
      <c r="C31" t="s">
        <v>254</v>
      </c>
      <c r="D31" t="s">
        <v>255</v>
      </c>
      <c r="E31" t="s">
        <v>256</v>
      </c>
      <c r="F31" t="s">
        <v>257</v>
      </c>
      <c r="G31" t="s">
        <v>258</v>
      </c>
      <c r="H31" t="s">
        <v>259</v>
      </c>
      <c r="I31" t="s">
        <v>260</v>
      </c>
      <c r="J31">
        <v>2.8833333333333329</v>
      </c>
      <c r="K31" t="s">
        <v>182</v>
      </c>
    </row>
    <row r="32" spans="1:11" x14ac:dyDescent="0.35">
      <c r="A32" t="s">
        <v>261</v>
      </c>
      <c r="B32" t="s">
        <v>261</v>
      </c>
      <c r="C32" t="s">
        <v>262</v>
      </c>
      <c r="D32" t="s">
        <v>48</v>
      </c>
      <c r="E32" t="s">
        <v>124</v>
      </c>
      <c r="F32" t="s">
        <v>56</v>
      </c>
      <c r="G32" t="s">
        <v>263</v>
      </c>
      <c r="H32" t="s">
        <v>264</v>
      </c>
      <c r="I32" t="s">
        <v>265</v>
      </c>
      <c r="J32">
        <v>6.6666666666666666E-2</v>
      </c>
      <c r="K32" t="s">
        <v>77</v>
      </c>
    </row>
    <row r="33" spans="1:11" x14ac:dyDescent="0.35">
      <c r="A33" t="s">
        <v>266</v>
      </c>
      <c r="B33" t="s">
        <v>267</v>
      </c>
      <c r="C33" t="s">
        <v>268</v>
      </c>
      <c r="D33" t="s">
        <v>48</v>
      </c>
      <c r="E33" t="s">
        <v>269</v>
      </c>
      <c r="F33" t="s">
        <v>41</v>
      </c>
      <c r="G33" t="s">
        <v>270</v>
      </c>
      <c r="H33" t="s">
        <v>271</v>
      </c>
      <c r="I33" t="s">
        <v>272</v>
      </c>
      <c r="J33">
        <v>5.3333333333333323E-2</v>
      </c>
      <c r="K33" t="s">
        <v>38</v>
      </c>
    </row>
    <row r="34" spans="1:11" x14ac:dyDescent="0.35">
      <c r="A34" t="s">
        <v>273</v>
      </c>
      <c r="B34" t="s">
        <v>274</v>
      </c>
      <c r="C34" t="s">
        <v>275</v>
      </c>
      <c r="D34" t="s">
        <v>276</v>
      </c>
      <c r="E34" t="s">
        <v>277</v>
      </c>
      <c r="F34" t="s">
        <v>278</v>
      </c>
      <c r="G34" t="s">
        <v>279</v>
      </c>
      <c r="H34" t="s">
        <v>280</v>
      </c>
      <c r="I34" t="s">
        <v>281</v>
      </c>
      <c r="J34">
        <v>1.64</v>
      </c>
      <c r="K34" t="s">
        <v>77</v>
      </c>
    </row>
    <row r="35" spans="1:11" x14ac:dyDescent="0.35">
      <c r="A35" t="s">
        <v>282</v>
      </c>
      <c r="B35" t="s">
        <v>283</v>
      </c>
      <c r="C35" t="s">
        <v>284</v>
      </c>
      <c r="D35" t="s">
        <v>285</v>
      </c>
      <c r="E35" t="s">
        <v>269</v>
      </c>
      <c r="F35" t="s">
        <v>286</v>
      </c>
      <c r="G35" t="s">
        <v>287</v>
      </c>
      <c r="H35" t="s">
        <v>288</v>
      </c>
      <c r="I35" t="s">
        <v>289</v>
      </c>
      <c r="J35">
        <v>0.6166666666666667</v>
      </c>
      <c r="K35" t="s">
        <v>38</v>
      </c>
    </row>
    <row r="36" spans="1:11" x14ac:dyDescent="0.35">
      <c r="A36" t="s">
        <v>290</v>
      </c>
      <c r="B36" t="s">
        <v>291</v>
      </c>
      <c r="C36" t="s">
        <v>292</v>
      </c>
      <c r="D36" t="s">
        <v>293</v>
      </c>
      <c r="E36" t="s">
        <v>294</v>
      </c>
      <c r="F36" t="s">
        <v>285</v>
      </c>
      <c r="G36" t="s">
        <v>295</v>
      </c>
      <c r="H36" t="s">
        <v>296</v>
      </c>
      <c r="I36" t="s">
        <v>297</v>
      </c>
      <c r="J36">
        <v>0.15666666666666659</v>
      </c>
      <c r="K36" t="s">
        <v>77</v>
      </c>
    </row>
    <row r="37" spans="1:11" x14ac:dyDescent="0.35">
      <c r="A37" t="s">
        <v>298</v>
      </c>
      <c r="B37" t="s">
        <v>298</v>
      </c>
      <c r="C37" t="s">
        <v>299</v>
      </c>
      <c r="D37" t="s">
        <v>33</v>
      </c>
      <c r="E37" t="s">
        <v>56</v>
      </c>
      <c r="F37" t="s">
        <v>285</v>
      </c>
      <c r="G37" t="s">
        <v>300</v>
      </c>
      <c r="H37" t="s">
        <v>301</v>
      </c>
      <c r="I37" t="s">
        <v>302</v>
      </c>
      <c r="J37">
        <v>2.6666666666666668E-2</v>
      </c>
      <c r="K37" t="s">
        <v>38</v>
      </c>
    </row>
    <row r="38" spans="1:11" x14ac:dyDescent="0.35">
      <c r="A38" t="s">
        <v>303</v>
      </c>
      <c r="B38" t="s">
        <v>304</v>
      </c>
      <c r="C38" t="s">
        <v>305</v>
      </c>
      <c r="D38" t="s">
        <v>33</v>
      </c>
      <c r="E38" t="s">
        <v>33</v>
      </c>
      <c r="F38" t="s">
        <v>33</v>
      </c>
      <c r="G38" t="s">
        <v>306</v>
      </c>
      <c r="I38" t="s">
        <v>307</v>
      </c>
      <c r="J38">
        <v>0</v>
      </c>
      <c r="K38" t="s">
        <v>38</v>
      </c>
    </row>
    <row r="39" spans="1:11" x14ac:dyDescent="0.35">
      <c r="A39" t="s">
        <v>308</v>
      </c>
      <c r="B39" t="s">
        <v>309</v>
      </c>
      <c r="C39" t="s">
        <v>310</v>
      </c>
      <c r="D39" t="s">
        <v>33</v>
      </c>
      <c r="E39" t="s">
        <v>33</v>
      </c>
      <c r="F39" t="s">
        <v>33</v>
      </c>
      <c r="G39" t="s">
        <v>311</v>
      </c>
      <c r="I39" t="s">
        <v>312</v>
      </c>
      <c r="J39">
        <v>0</v>
      </c>
      <c r="K39" t="s">
        <v>38</v>
      </c>
    </row>
    <row r="40" spans="1:11" x14ac:dyDescent="0.35">
      <c r="A40" t="s">
        <v>313</v>
      </c>
      <c r="B40" t="s">
        <v>314</v>
      </c>
      <c r="C40" t="s">
        <v>310</v>
      </c>
      <c r="D40" t="s">
        <v>48</v>
      </c>
      <c r="E40" t="s">
        <v>33</v>
      </c>
      <c r="F40" t="s">
        <v>34</v>
      </c>
      <c r="G40" t="s">
        <v>315</v>
      </c>
      <c r="H40" t="s">
        <v>316</v>
      </c>
      <c r="I40" t="s">
        <v>317</v>
      </c>
      <c r="J40">
        <v>1.666666666666667E-2</v>
      </c>
      <c r="K40" t="s">
        <v>38</v>
      </c>
    </row>
    <row r="41" spans="1:11" x14ac:dyDescent="0.35">
      <c r="A41" t="s">
        <v>318</v>
      </c>
      <c r="B41" t="s">
        <v>319</v>
      </c>
      <c r="C41" t="s">
        <v>320</v>
      </c>
      <c r="D41" t="s">
        <v>33</v>
      </c>
      <c r="E41" t="s">
        <v>321</v>
      </c>
      <c r="F41" t="s">
        <v>322</v>
      </c>
      <c r="G41" t="s">
        <v>323</v>
      </c>
      <c r="I41" t="s">
        <v>324</v>
      </c>
      <c r="J41">
        <v>1.4633333333333329</v>
      </c>
      <c r="K41" t="s">
        <v>182</v>
      </c>
    </row>
    <row r="42" spans="1:11" x14ac:dyDescent="0.35">
      <c r="A42" t="s">
        <v>325</v>
      </c>
      <c r="B42" t="s">
        <v>326</v>
      </c>
      <c r="C42" t="s">
        <v>327</v>
      </c>
      <c r="D42" t="s">
        <v>109</v>
      </c>
      <c r="E42" t="s">
        <v>240</v>
      </c>
      <c r="F42" t="s">
        <v>328</v>
      </c>
      <c r="G42" t="s">
        <v>329</v>
      </c>
      <c r="H42" t="s">
        <v>330</v>
      </c>
      <c r="I42" t="s">
        <v>331</v>
      </c>
      <c r="J42">
        <v>1.8766666666666669</v>
      </c>
      <c r="K42" t="s">
        <v>77</v>
      </c>
    </row>
    <row r="43" spans="1:11" x14ac:dyDescent="0.35">
      <c r="A43" t="s">
        <v>332</v>
      </c>
      <c r="B43" t="s">
        <v>333</v>
      </c>
      <c r="C43" t="s">
        <v>334</v>
      </c>
      <c r="D43" t="s">
        <v>41</v>
      </c>
      <c r="E43" t="s">
        <v>34</v>
      </c>
      <c r="F43" t="s">
        <v>101</v>
      </c>
      <c r="G43" t="s">
        <v>335</v>
      </c>
      <c r="H43" t="s">
        <v>336</v>
      </c>
      <c r="I43" t="s">
        <v>337</v>
      </c>
      <c r="J43">
        <v>0.04</v>
      </c>
      <c r="K43" t="s">
        <v>38</v>
      </c>
    </row>
    <row r="44" spans="1:11" x14ac:dyDescent="0.35">
      <c r="A44" t="s">
        <v>338</v>
      </c>
      <c r="B44" t="s">
        <v>339</v>
      </c>
      <c r="C44" t="s">
        <v>340</v>
      </c>
      <c r="D44" t="s">
        <v>101</v>
      </c>
      <c r="E44" t="s">
        <v>48</v>
      </c>
      <c r="F44" t="s">
        <v>102</v>
      </c>
      <c r="G44" t="s">
        <v>341</v>
      </c>
      <c r="H44" t="s">
        <v>342</v>
      </c>
      <c r="I44" t="s">
        <v>343</v>
      </c>
      <c r="J44">
        <v>0.26333333333333342</v>
      </c>
      <c r="K44" t="s">
        <v>77</v>
      </c>
    </row>
    <row r="45" spans="1:11" x14ac:dyDescent="0.35">
      <c r="A45" t="s">
        <v>344</v>
      </c>
      <c r="B45" t="s">
        <v>345</v>
      </c>
      <c r="C45" t="s">
        <v>346</v>
      </c>
      <c r="D45" t="s">
        <v>347</v>
      </c>
      <c r="E45" t="s">
        <v>348</v>
      </c>
      <c r="F45" t="s">
        <v>349</v>
      </c>
      <c r="G45" t="s">
        <v>350</v>
      </c>
      <c r="H45" t="s">
        <v>351</v>
      </c>
      <c r="I45" t="s">
        <v>352</v>
      </c>
      <c r="J45">
        <v>3.543333333333333</v>
      </c>
      <c r="K45" t="s">
        <v>182</v>
      </c>
    </row>
    <row r="46" spans="1:11" x14ac:dyDescent="0.35">
      <c r="A46" t="s">
        <v>353</v>
      </c>
      <c r="B46" t="s">
        <v>354</v>
      </c>
      <c r="C46" t="s">
        <v>355</v>
      </c>
      <c r="D46" t="s">
        <v>356</v>
      </c>
      <c r="E46" t="s">
        <v>357</v>
      </c>
      <c r="F46" t="s">
        <v>358</v>
      </c>
      <c r="G46" t="s">
        <v>359</v>
      </c>
      <c r="H46" t="s">
        <v>360</v>
      </c>
      <c r="I46" t="s">
        <v>361</v>
      </c>
      <c r="J46">
        <v>1.61</v>
      </c>
      <c r="K46" t="s">
        <v>77</v>
      </c>
    </row>
    <row r="47" spans="1:11" x14ac:dyDescent="0.35">
      <c r="A47" t="s">
        <v>362</v>
      </c>
      <c r="B47" t="s">
        <v>363</v>
      </c>
      <c r="C47" t="s">
        <v>364</v>
      </c>
      <c r="D47" t="s">
        <v>365</v>
      </c>
      <c r="E47" t="s">
        <v>366</v>
      </c>
      <c r="F47" t="s">
        <v>367</v>
      </c>
      <c r="G47" t="s">
        <v>368</v>
      </c>
      <c r="H47" t="s">
        <v>369</v>
      </c>
      <c r="I47" t="s">
        <v>370</v>
      </c>
      <c r="J47">
        <v>0.8933333333333332</v>
      </c>
      <c r="K47" t="s">
        <v>182</v>
      </c>
    </row>
    <row r="48" spans="1:11" x14ac:dyDescent="0.35">
      <c r="A48" t="s">
        <v>371</v>
      </c>
      <c r="B48" t="s">
        <v>372</v>
      </c>
      <c r="C48" t="s">
        <v>373</v>
      </c>
      <c r="D48" t="s">
        <v>374</v>
      </c>
      <c r="E48" t="s">
        <v>375</v>
      </c>
      <c r="F48" t="s">
        <v>376</v>
      </c>
      <c r="G48" t="s">
        <v>377</v>
      </c>
      <c r="H48" t="s">
        <v>378</v>
      </c>
      <c r="I48" t="s">
        <v>379</v>
      </c>
      <c r="J48">
        <v>1.97</v>
      </c>
      <c r="K48" t="s">
        <v>182</v>
      </c>
    </row>
    <row r="49" spans="1:11" x14ac:dyDescent="0.35">
      <c r="A49" t="s">
        <v>380</v>
      </c>
      <c r="B49" t="s">
        <v>381</v>
      </c>
      <c r="C49" t="s">
        <v>382</v>
      </c>
      <c r="D49" t="s">
        <v>383</v>
      </c>
      <c r="E49" t="s">
        <v>384</v>
      </c>
      <c r="F49" t="s">
        <v>385</v>
      </c>
      <c r="G49" t="s">
        <v>386</v>
      </c>
      <c r="H49" t="s">
        <v>387</v>
      </c>
      <c r="I49" t="s">
        <v>388</v>
      </c>
      <c r="J49">
        <v>6.03</v>
      </c>
      <c r="K49" t="s">
        <v>77</v>
      </c>
    </row>
    <row r="50" spans="1:11" x14ac:dyDescent="0.35">
      <c r="A50" t="s">
        <v>389</v>
      </c>
      <c r="B50" t="s">
        <v>390</v>
      </c>
      <c r="C50" t="s">
        <v>391</v>
      </c>
      <c r="D50" t="s">
        <v>392</v>
      </c>
      <c r="E50" t="s">
        <v>143</v>
      </c>
      <c r="F50" t="s">
        <v>393</v>
      </c>
      <c r="G50" t="s">
        <v>394</v>
      </c>
      <c r="H50" t="s">
        <v>395</v>
      </c>
      <c r="I50" t="s">
        <v>396</v>
      </c>
      <c r="J50">
        <v>1.0966666666666669</v>
      </c>
      <c r="K50" t="s">
        <v>182</v>
      </c>
    </row>
    <row r="51" spans="1:11" x14ac:dyDescent="0.35">
      <c r="A51" t="s">
        <v>397</v>
      </c>
      <c r="B51" t="s">
        <v>398</v>
      </c>
      <c r="C51" t="s">
        <v>399</v>
      </c>
      <c r="D51" t="s">
        <v>400</v>
      </c>
      <c r="E51" t="s">
        <v>401</v>
      </c>
      <c r="F51" t="s">
        <v>402</v>
      </c>
      <c r="G51" t="s">
        <v>403</v>
      </c>
      <c r="H51" t="s">
        <v>404</v>
      </c>
      <c r="I51" t="s">
        <v>405</v>
      </c>
      <c r="J51">
        <v>5.2166666666666668</v>
      </c>
      <c r="K51" t="s">
        <v>77</v>
      </c>
    </row>
    <row r="52" spans="1:11" x14ac:dyDescent="0.35">
      <c r="A52" t="s">
        <v>406</v>
      </c>
      <c r="B52" t="s">
        <v>407</v>
      </c>
      <c r="C52" t="s">
        <v>408</v>
      </c>
      <c r="D52" t="s">
        <v>132</v>
      </c>
      <c r="E52" t="s">
        <v>409</v>
      </c>
      <c r="F52" t="s">
        <v>410</v>
      </c>
      <c r="G52" t="s">
        <v>411</v>
      </c>
      <c r="H52" t="s">
        <v>412</v>
      </c>
      <c r="I52" t="s">
        <v>413</v>
      </c>
      <c r="J52">
        <v>6.043333333333333</v>
      </c>
      <c r="K52" t="s">
        <v>20</v>
      </c>
    </row>
    <row r="53" spans="1:11" x14ac:dyDescent="0.35">
      <c r="A53" t="s">
        <v>414</v>
      </c>
      <c r="B53" t="s">
        <v>415</v>
      </c>
      <c r="C53" t="s">
        <v>416</v>
      </c>
      <c r="D53" t="s">
        <v>417</v>
      </c>
      <c r="E53" t="s">
        <v>142</v>
      </c>
      <c r="F53" t="s">
        <v>418</v>
      </c>
      <c r="G53" t="s">
        <v>419</v>
      </c>
      <c r="H53" t="s">
        <v>420</v>
      </c>
      <c r="I53" t="s">
        <v>421</v>
      </c>
      <c r="J53">
        <v>3.083333333333333</v>
      </c>
      <c r="K53" t="s">
        <v>77</v>
      </c>
    </row>
    <row r="54" spans="1:11" x14ac:dyDescent="0.35">
      <c r="A54" t="s">
        <v>422</v>
      </c>
      <c r="B54" t="s">
        <v>423</v>
      </c>
      <c r="C54" t="s">
        <v>424</v>
      </c>
      <c r="D54" t="s">
        <v>425</v>
      </c>
      <c r="E54" t="s">
        <v>426</v>
      </c>
      <c r="F54" t="s">
        <v>427</v>
      </c>
      <c r="G54" t="s">
        <v>428</v>
      </c>
      <c r="H54" t="s">
        <v>429</v>
      </c>
      <c r="I54" t="s">
        <v>430</v>
      </c>
      <c r="J54">
        <v>1.2966666666666671</v>
      </c>
      <c r="K54" t="s">
        <v>182</v>
      </c>
    </row>
    <row r="55" spans="1:11" x14ac:dyDescent="0.35">
      <c r="A55" t="s">
        <v>431</v>
      </c>
      <c r="B55" t="s">
        <v>432</v>
      </c>
      <c r="C55" t="s">
        <v>433</v>
      </c>
      <c r="D55" t="s">
        <v>434</v>
      </c>
      <c r="E55" t="s">
        <v>426</v>
      </c>
      <c r="F55" t="s">
        <v>435</v>
      </c>
      <c r="G55" t="s">
        <v>436</v>
      </c>
      <c r="H55" t="s">
        <v>437</v>
      </c>
      <c r="I55" t="s">
        <v>438</v>
      </c>
      <c r="J55">
        <v>3.5366666666666671</v>
      </c>
      <c r="K55" t="s">
        <v>182</v>
      </c>
    </row>
    <row r="56" spans="1:11" x14ac:dyDescent="0.35">
      <c r="A56" t="s">
        <v>439</v>
      </c>
      <c r="B56" t="s">
        <v>440</v>
      </c>
      <c r="C56" t="s">
        <v>441</v>
      </c>
      <c r="D56" t="s">
        <v>442</v>
      </c>
      <c r="E56" t="s">
        <v>443</v>
      </c>
      <c r="F56" t="s">
        <v>444</v>
      </c>
      <c r="G56" t="s">
        <v>445</v>
      </c>
      <c r="H56" t="s">
        <v>446</v>
      </c>
      <c r="I56" t="s">
        <v>352</v>
      </c>
      <c r="J56">
        <v>7.5466666666666669</v>
      </c>
      <c r="K56" t="s">
        <v>182</v>
      </c>
    </row>
    <row r="57" spans="1:11" x14ac:dyDescent="0.35">
      <c r="A57" t="s">
        <v>447</v>
      </c>
      <c r="B57" t="s">
        <v>448</v>
      </c>
      <c r="C57" t="s">
        <v>449</v>
      </c>
      <c r="D57" t="s">
        <v>450</v>
      </c>
      <c r="E57" t="s">
        <v>286</v>
      </c>
      <c r="F57" t="s">
        <v>451</v>
      </c>
      <c r="G57" t="s">
        <v>452</v>
      </c>
      <c r="H57" t="s">
        <v>453</v>
      </c>
      <c r="I57" t="s">
        <v>454</v>
      </c>
      <c r="J57">
        <v>2.79</v>
      </c>
      <c r="K57" t="s">
        <v>77</v>
      </c>
    </row>
    <row r="58" spans="1:11" x14ac:dyDescent="0.35">
      <c r="A58" t="s">
        <v>455</v>
      </c>
      <c r="B58" t="s">
        <v>456</v>
      </c>
      <c r="C58" t="s">
        <v>457</v>
      </c>
      <c r="D58" t="s">
        <v>458</v>
      </c>
      <c r="E58" t="s">
        <v>459</v>
      </c>
      <c r="F58" t="s">
        <v>459</v>
      </c>
      <c r="G58" t="s">
        <v>460</v>
      </c>
      <c r="H58" t="s">
        <v>461</v>
      </c>
      <c r="I58" t="s">
        <v>462</v>
      </c>
      <c r="J58">
        <v>33.89</v>
      </c>
      <c r="K58" t="s">
        <v>77</v>
      </c>
    </row>
    <row r="59" spans="1:11" x14ac:dyDescent="0.35">
      <c r="A59" t="s">
        <v>463</v>
      </c>
      <c r="B59" t="s">
        <v>464</v>
      </c>
      <c r="C59" t="s">
        <v>465</v>
      </c>
      <c r="D59" t="s">
        <v>255</v>
      </c>
      <c r="E59" t="s">
        <v>466</v>
      </c>
      <c r="F59" t="s">
        <v>467</v>
      </c>
      <c r="G59" t="s">
        <v>468</v>
      </c>
      <c r="H59" t="s">
        <v>469</v>
      </c>
      <c r="I59" t="s">
        <v>470</v>
      </c>
      <c r="J59">
        <v>1.673333333333334</v>
      </c>
      <c r="K59" t="s">
        <v>77</v>
      </c>
    </row>
    <row r="60" spans="1:11" x14ac:dyDescent="0.35">
      <c r="A60" t="s">
        <v>471</v>
      </c>
      <c r="B60" t="s">
        <v>472</v>
      </c>
      <c r="C60" t="s">
        <v>473</v>
      </c>
      <c r="D60" t="s">
        <v>392</v>
      </c>
      <c r="E60" t="s">
        <v>143</v>
      </c>
      <c r="F60" t="s">
        <v>474</v>
      </c>
      <c r="G60" t="s">
        <v>475</v>
      </c>
      <c r="H60" t="s">
        <v>476</v>
      </c>
      <c r="I60" t="s">
        <v>477</v>
      </c>
      <c r="J60">
        <v>1.9133333333333331</v>
      </c>
      <c r="K60" t="s">
        <v>38</v>
      </c>
    </row>
    <row r="61" spans="1:11" x14ac:dyDescent="0.35">
      <c r="A61" t="s">
        <v>478</v>
      </c>
      <c r="B61" t="s">
        <v>479</v>
      </c>
      <c r="C61" t="s">
        <v>480</v>
      </c>
      <c r="D61" t="s">
        <v>481</v>
      </c>
      <c r="E61" t="s">
        <v>482</v>
      </c>
      <c r="F61" t="s">
        <v>483</v>
      </c>
      <c r="G61" t="s">
        <v>484</v>
      </c>
      <c r="H61" t="s">
        <v>485</v>
      </c>
      <c r="I61" t="s">
        <v>486</v>
      </c>
      <c r="J61">
        <v>2.626666666666666</v>
      </c>
      <c r="K61" t="s">
        <v>77</v>
      </c>
    </row>
    <row r="62" spans="1:11" x14ac:dyDescent="0.35">
      <c r="A62" t="s">
        <v>487</v>
      </c>
      <c r="B62" t="s">
        <v>488</v>
      </c>
      <c r="C62" t="s">
        <v>489</v>
      </c>
      <c r="D62" t="s">
        <v>490</v>
      </c>
      <c r="E62" t="s">
        <v>491</v>
      </c>
      <c r="F62" t="s">
        <v>492</v>
      </c>
      <c r="G62" t="s">
        <v>493</v>
      </c>
      <c r="H62" t="s">
        <v>494</v>
      </c>
      <c r="I62" t="s">
        <v>495</v>
      </c>
      <c r="J62">
        <v>48.486666666666672</v>
      </c>
      <c r="K62" t="s">
        <v>182</v>
      </c>
    </row>
    <row r="63" spans="1:11" x14ac:dyDescent="0.35">
      <c r="A63" t="s">
        <v>496</v>
      </c>
      <c r="B63" t="s">
        <v>497</v>
      </c>
      <c r="C63" t="s">
        <v>498</v>
      </c>
      <c r="D63" t="s">
        <v>499</v>
      </c>
      <c r="E63" t="s">
        <v>500</v>
      </c>
      <c r="F63" t="s">
        <v>501</v>
      </c>
      <c r="G63" t="s">
        <v>502</v>
      </c>
      <c r="H63" t="s">
        <v>503</v>
      </c>
      <c r="I63" t="s">
        <v>504</v>
      </c>
      <c r="J63">
        <v>15.04666666666667</v>
      </c>
      <c r="K63" t="s">
        <v>182</v>
      </c>
    </row>
    <row r="64" spans="1:11" x14ac:dyDescent="0.35">
      <c r="A64" t="s">
        <v>505</v>
      </c>
      <c r="B64" t="s">
        <v>506</v>
      </c>
      <c r="C64" t="s">
        <v>507</v>
      </c>
      <c r="D64" t="s">
        <v>285</v>
      </c>
      <c r="E64" t="s">
        <v>508</v>
      </c>
      <c r="F64" t="s">
        <v>509</v>
      </c>
      <c r="G64" t="s">
        <v>510</v>
      </c>
      <c r="H64" t="s">
        <v>511</v>
      </c>
      <c r="I64" t="s">
        <v>512</v>
      </c>
      <c r="J64">
        <v>1.1633333333333331</v>
      </c>
      <c r="K64" t="s">
        <v>182</v>
      </c>
    </row>
    <row r="65" spans="1:11" x14ac:dyDescent="0.35">
      <c r="A65" t="s">
        <v>513</v>
      </c>
      <c r="B65" t="s">
        <v>513</v>
      </c>
      <c r="C65" t="s">
        <v>514</v>
      </c>
      <c r="D65" t="s">
        <v>33</v>
      </c>
      <c r="E65" t="s">
        <v>56</v>
      </c>
      <c r="F65" t="s">
        <v>392</v>
      </c>
      <c r="G65" t="s">
        <v>515</v>
      </c>
      <c r="I65" t="s">
        <v>516</v>
      </c>
      <c r="J65">
        <v>0.13</v>
      </c>
      <c r="K65" t="s">
        <v>182</v>
      </c>
    </row>
    <row r="66" spans="1:11" x14ac:dyDescent="0.35">
      <c r="A66" t="s">
        <v>517</v>
      </c>
      <c r="B66" t="s">
        <v>518</v>
      </c>
      <c r="C66" t="s">
        <v>519</v>
      </c>
      <c r="D66" t="s">
        <v>72</v>
      </c>
      <c r="E66" t="s">
        <v>520</v>
      </c>
      <c r="F66" t="s">
        <v>521</v>
      </c>
      <c r="G66" t="s">
        <v>522</v>
      </c>
      <c r="H66" t="s">
        <v>523</v>
      </c>
      <c r="I66" t="s">
        <v>524</v>
      </c>
      <c r="J66">
        <v>3.8966666666666669</v>
      </c>
      <c r="K66" t="s">
        <v>77</v>
      </c>
    </row>
    <row r="67" spans="1:11" x14ac:dyDescent="0.35">
      <c r="A67" t="s">
        <v>525</v>
      </c>
      <c r="B67" t="s">
        <v>333</v>
      </c>
      <c r="C67" t="s">
        <v>526</v>
      </c>
      <c r="D67" t="s">
        <v>101</v>
      </c>
      <c r="E67" t="s">
        <v>527</v>
      </c>
      <c r="F67" t="s">
        <v>528</v>
      </c>
      <c r="G67" t="s">
        <v>529</v>
      </c>
      <c r="H67" t="s">
        <v>530</v>
      </c>
      <c r="I67" t="s">
        <v>531</v>
      </c>
      <c r="J67">
        <v>1.6</v>
      </c>
      <c r="K67" t="s">
        <v>77</v>
      </c>
    </row>
    <row r="68" spans="1:11" x14ac:dyDescent="0.35">
      <c r="A68" t="s">
        <v>532</v>
      </c>
      <c r="B68" t="s">
        <v>533</v>
      </c>
      <c r="C68" t="s">
        <v>534</v>
      </c>
      <c r="D68" t="s">
        <v>109</v>
      </c>
      <c r="E68" t="s">
        <v>64</v>
      </c>
      <c r="F68" t="s">
        <v>535</v>
      </c>
      <c r="G68" t="s">
        <v>536</v>
      </c>
      <c r="H68" t="s">
        <v>537</v>
      </c>
      <c r="I68" t="s">
        <v>538</v>
      </c>
      <c r="J68">
        <v>0.71666666666666667</v>
      </c>
      <c r="K68" t="s">
        <v>77</v>
      </c>
    </row>
    <row r="69" spans="1:11" x14ac:dyDescent="0.35">
      <c r="A69" t="s">
        <v>539</v>
      </c>
      <c r="B69" t="s">
        <v>540</v>
      </c>
      <c r="C69" t="s">
        <v>541</v>
      </c>
      <c r="D69" t="s">
        <v>109</v>
      </c>
      <c r="E69" t="s">
        <v>542</v>
      </c>
      <c r="F69" t="s">
        <v>543</v>
      </c>
      <c r="G69" t="s">
        <v>544</v>
      </c>
      <c r="H69" t="s">
        <v>545</v>
      </c>
      <c r="I69" t="s">
        <v>546</v>
      </c>
      <c r="J69">
        <v>1.27</v>
      </c>
      <c r="K69" t="s">
        <v>182</v>
      </c>
    </row>
    <row r="70" spans="1:11" x14ac:dyDescent="0.35">
      <c r="A70" t="s">
        <v>547</v>
      </c>
      <c r="B70" t="s">
        <v>548</v>
      </c>
      <c r="C70" t="s">
        <v>549</v>
      </c>
      <c r="D70" t="s">
        <v>417</v>
      </c>
      <c r="E70" t="s">
        <v>550</v>
      </c>
      <c r="F70" t="s">
        <v>551</v>
      </c>
      <c r="G70" t="s">
        <v>552</v>
      </c>
      <c r="H70" t="s">
        <v>553</v>
      </c>
      <c r="I70" t="s">
        <v>554</v>
      </c>
      <c r="J70">
        <v>2.95</v>
      </c>
      <c r="K70" t="s">
        <v>77</v>
      </c>
    </row>
    <row r="71" spans="1:11" x14ac:dyDescent="0.35">
      <c r="A71" t="s">
        <v>555</v>
      </c>
      <c r="B71" t="s">
        <v>556</v>
      </c>
      <c r="C71" t="s">
        <v>557</v>
      </c>
      <c r="D71" t="s">
        <v>558</v>
      </c>
      <c r="E71" t="s">
        <v>559</v>
      </c>
      <c r="F71" t="s">
        <v>560</v>
      </c>
      <c r="G71" t="s">
        <v>561</v>
      </c>
      <c r="H71" t="s">
        <v>562</v>
      </c>
      <c r="I71" t="s">
        <v>563</v>
      </c>
      <c r="J71">
        <v>6.98</v>
      </c>
      <c r="K71" t="s">
        <v>77</v>
      </c>
    </row>
    <row r="72" spans="1:11" x14ac:dyDescent="0.35">
      <c r="A72" t="s">
        <v>564</v>
      </c>
      <c r="B72" t="s">
        <v>565</v>
      </c>
      <c r="C72" t="s">
        <v>566</v>
      </c>
      <c r="D72" t="s">
        <v>90</v>
      </c>
      <c r="E72" t="s">
        <v>376</v>
      </c>
      <c r="F72" t="s">
        <v>567</v>
      </c>
      <c r="G72" t="s">
        <v>568</v>
      </c>
      <c r="H72" t="s">
        <v>569</v>
      </c>
      <c r="I72" t="s">
        <v>570</v>
      </c>
      <c r="J72">
        <v>2.0099999999999998</v>
      </c>
      <c r="K72" t="s">
        <v>38</v>
      </c>
    </row>
    <row r="73" spans="1:11" x14ac:dyDescent="0.35">
      <c r="A73" t="s">
        <v>571</v>
      </c>
      <c r="B73" t="s">
        <v>572</v>
      </c>
      <c r="C73" t="s">
        <v>573</v>
      </c>
      <c r="D73" t="s">
        <v>574</v>
      </c>
      <c r="E73" t="s">
        <v>575</v>
      </c>
      <c r="F73" t="s">
        <v>576</v>
      </c>
      <c r="G73" t="s">
        <v>577</v>
      </c>
      <c r="H73" t="s">
        <v>578</v>
      </c>
      <c r="I73" t="s">
        <v>579</v>
      </c>
      <c r="J73">
        <v>10.053333333333329</v>
      </c>
      <c r="K73" t="s">
        <v>182</v>
      </c>
    </row>
    <row r="74" spans="1:11" x14ac:dyDescent="0.35">
      <c r="A74" t="s">
        <v>580</v>
      </c>
      <c r="B74" t="s">
        <v>581</v>
      </c>
      <c r="C74" t="s">
        <v>582</v>
      </c>
      <c r="D74" t="s">
        <v>583</v>
      </c>
      <c r="E74" t="s">
        <v>584</v>
      </c>
      <c r="F74" t="s">
        <v>585</v>
      </c>
      <c r="G74" t="s">
        <v>586</v>
      </c>
      <c r="H74" t="s">
        <v>587</v>
      </c>
      <c r="I74" t="s">
        <v>588</v>
      </c>
      <c r="J74">
        <v>1.78</v>
      </c>
      <c r="K74" t="s">
        <v>77</v>
      </c>
    </row>
    <row r="75" spans="1:11" x14ac:dyDescent="0.35">
      <c r="A75" t="s">
        <v>589</v>
      </c>
      <c r="B75" t="s">
        <v>590</v>
      </c>
      <c r="C75" t="s">
        <v>591</v>
      </c>
      <c r="D75" t="s">
        <v>592</v>
      </c>
      <c r="E75" t="s">
        <v>593</v>
      </c>
      <c r="F75" t="s">
        <v>594</v>
      </c>
      <c r="G75" t="s">
        <v>595</v>
      </c>
      <c r="H75" t="s">
        <v>596</v>
      </c>
      <c r="I75" t="s">
        <v>597</v>
      </c>
      <c r="J75">
        <v>6.2866666666666662</v>
      </c>
      <c r="K75" t="s">
        <v>182</v>
      </c>
    </row>
    <row r="76" spans="1:11" x14ac:dyDescent="0.35">
      <c r="A76" t="s">
        <v>598</v>
      </c>
      <c r="B76" t="s">
        <v>598</v>
      </c>
      <c r="C76" t="s">
        <v>599</v>
      </c>
      <c r="D76" t="s">
        <v>600</v>
      </c>
      <c r="E76" t="s">
        <v>601</v>
      </c>
      <c r="F76" t="s">
        <v>602</v>
      </c>
      <c r="G76" t="s">
        <v>603</v>
      </c>
      <c r="H76" t="s">
        <v>604</v>
      </c>
      <c r="I76" t="s">
        <v>605</v>
      </c>
      <c r="J76">
        <v>2.09</v>
      </c>
      <c r="K76" t="s">
        <v>182</v>
      </c>
    </row>
    <row r="77" spans="1:11" x14ac:dyDescent="0.35">
      <c r="A77" t="s">
        <v>606</v>
      </c>
      <c r="B77" t="s">
        <v>607</v>
      </c>
      <c r="C77" t="s">
        <v>608</v>
      </c>
      <c r="D77" t="s">
        <v>442</v>
      </c>
      <c r="E77" t="s">
        <v>609</v>
      </c>
      <c r="F77" t="s">
        <v>610</v>
      </c>
      <c r="G77" t="s">
        <v>611</v>
      </c>
      <c r="H77" t="s">
        <v>612</v>
      </c>
      <c r="I77" t="s">
        <v>613</v>
      </c>
      <c r="J77">
        <v>3.48</v>
      </c>
      <c r="K77" t="s">
        <v>77</v>
      </c>
    </row>
    <row r="78" spans="1:11" x14ac:dyDescent="0.35">
      <c r="A78" t="s">
        <v>614</v>
      </c>
      <c r="B78" t="s">
        <v>615</v>
      </c>
      <c r="C78" t="s">
        <v>55</v>
      </c>
      <c r="D78" t="s">
        <v>41</v>
      </c>
      <c r="E78" t="s">
        <v>63</v>
      </c>
      <c r="F78" t="s">
        <v>63</v>
      </c>
      <c r="G78" t="s">
        <v>616</v>
      </c>
      <c r="H78" t="s">
        <v>617</v>
      </c>
      <c r="I78" t="s">
        <v>618</v>
      </c>
      <c r="J78">
        <v>6.6666666666666666E-2</v>
      </c>
      <c r="K78" t="s">
        <v>38</v>
      </c>
    </row>
    <row r="79" spans="1:11" x14ac:dyDescent="0.35">
      <c r="A79" t="s">
        <v>619</v>
      </c>
      <c r="B79" t="s">
        <v>620</v>
      </c>
      <c r="C79" t="s">
        <v>621</v>
      </c>
      <c r="D79" t="s">
        <v>293</v>
      </c>
      <c r="E79" t="s">
        <v>321</v>
      </c>
      <c r="F79" t="s">
        <v>622</v>
      </c>
      <c r="G79" t="s">
        <v>623</v>
      </c>
      <c r="H79" t="s">
        <v>624</v>
      </c>
      <c r="I79" t="s">
        <v>625</v>
      </c>
      <c r="J79">
        <v>0.71666666666666667</v>
      </c>
      <c r="K79" t="s">
        <v>38</v>
      </c>
    </row>
    <row r="80" spans="1:11" x14ac:dyDescent="0.35">
      <c r="A80" t="s">
        <v>626</v>
      </c>
      <c r="B80" t="s">
        <v>627</v>
      </c>
      <c r="C80" t="s">
        <v>628</v>
      </c>
      <c r="D80" t="s">
        <v>277</v>
      </c>
      <c r="E80" t="s">
        <v>629</v>
      </c>
      <c r="F80" t="s">
        <v>630</v>
      </c>
      <c r="G80" t="s">
        <v>631</v>
      </c>
      <c r="H80" t="s">
        <v>632</v>
      </c>
      <c r="I80" t="s">
        <v>633</v>
      </c>
      <c r="J80">
        <v>1.196666666666667</v>
      </c>
      <c r="K80" t="s">
        <v>77</v>
      </c>
    </row>
    <row r="81" spans="1:11" x14ac:dyDescent="0.35">
      <c r="A81" t="s">
        <v>634</v>
      </c>
      <c r="B81" t="s">
        <v>635</v>
      </c>
      <c r="C81" t="s">
        <v>636</v>
      </c>
      <c r="D81" t="s">
        <v>637</v>
      </c>
      <c r="E81" t="s">
        <v>638</v>
      </c>
      <c r="F81" t="s">
        <v>639</v>
      </c>
      <c r="G81" t="s">
        <v>640</v>
      </c>
      <c r="H81" t="s">
        <v>641</v>
      </c>
      <c r="I81" t="s">
        <v>642</v>
      </c>
      <c r="J81">
        <v>3.45</v>
      </c>
      <c r="K81" t="s">
        <v>77</v>
      </c>
    </row>
    <row r="82" spans="1:11" x14ac:dyDescent="0.35">
      <c r="A82" t="s">
        <v>643</v>
      </c>
      <c r="B82" t="s">
        <v>644</v>
      </c>
      <c r="C82" t="s">
        <v>645</v>
      </c>
      <c r="D82" t="s">
        <v>646</v>
      </c>
      <c r="E82" t="s">
        <v>647</v>
      </c>
      <c r="F82" t="s">
        <v>648</v>
      </c>
      <c r="G82" t="s">
        <v>649</v>
      </c>
      <c r="H82" t="s">
        <v>650</v>
      </c>
      <c r="I82" t="s">
        <v>651</v>
      </c>
      <c r="J82">
        <v>1.566666666666666</v>
      </c>
      <c r="K82" t="s">
        <v>182</v>
      </c>
    </row>
    <row r="83" spans="1:11" x14ac:dyDescent="0.35">
      <c r="A83" t="s">
        <v>652</v>
      </c>
      <c r="B83" t="s">
        <v>653</v>
      </c>
      <c r="C83" t="s">
        <v>654</v>
      </c>
      <c r="D83" t="s">
        <v>269</v>
      </c>
      <c r="E83" t="s">
        <v>16</v>
      </c>
      <c r="F83" t="s">
        <v>655</v>
      </c>
      <c r="G83" t="s">
        <v>656</v>
      </c>
      <c r="H83" t="s">
        <v>657</v>
      </c>
      <c r="I83" t="s">
        <v>658</v>
      </c>
      <c r="J83">
        <v>1.33</v>
      </c>
      <c r="K83" t="s">
        <v>77</v>
      </c>
    </row>
    <row r="84" spans="1:11" x14ac:dyDescent="0.35">
      <c r="A84" t="s">
        <v>659</v>
      </c>
      <c r="B84" t="s">
        <v>660</v>
      </c>
      <c r="C84" t="s">
        <v>661</v>
      </c>
      <c r="D84" t="s">
        <v>49</v>
      </c>
      <c r="E84" t="s">
        <v>124</v>
      </c>
      <c r="F84" t="s">
        <v>662</v>
      </c>
      <c r="G84" t="s">
        <v>663</v>
      </c>
      <c r="H84" t="s">
        <v>664</v>
      </c>
      <c r="I84" t="s">
        <v>665</v>
      </c>
      <c r="J84">
        <v>5.0933333333333328</v>
      </c>
      <c r="K84" t="s">
        <v>182</v>
      </c>
    </row>
    <row r="85" spans="1:11" x14ac:dyDescent="0.35">
      <c r="A85" t="s">
        <v>666</v>
      </c>
      <c r="B85" t="s">
        <v>667</v>
      </c>
      <c r="C85" t="s">
        <v>668</v>
      </c>
      <c r="D85" t="s">
        <v>669</v>
      </c>
      <c r="E85" t="s">
        <v>670</v>
      </c>
      <c r="F85" t="s">
        <v>671</v>
      </c>
      <c r="G85" t="s">
        <v>672</v>
      </c>
      <c r="H85" t="s">
        <v>673</v>
      </c>
      <c r="I85" t="s">
        <v>674</v>
      </c>
      <c r="J85">
        <v>2.3966666666666669</v>
      </c>
      <c r="K85" t="s">
        <v>182</v>
      </c>
    </row>
    <row r="86" spans="1:11" x14ac:dyDescent="0.35">
      <c r="A86" t="s">
        <v>675</v>
      </c>
      <c r="B86" t="s">
        <v>676</v>
      </c>
      <c r="C86" t="s">
        <v>677</v>
      </c>
      <c r="D86" t="s">
        <v>101</v>
      </c>
      <c r="E86" t="s">
        <v>678</v>
      </c>
      <c r="F86" t="s">
        <v>679</v>
      </c>
      <c r="G86" t="s">
        <v>680</v>
      </c>
      <c r="H86" t="s">
        <v>681</v>
      </c>
      <c r="I86" t="s">
        <v>682</v>
      </c>
      <c r="J86">
        <v>1.4033333333333331</v>
      </c>
      <c r="K86" t="s">
        <v>38</v>
      </c>
    </row>
    <row r="87" spans="1:11" x14ac:dyDescent="0.35">
      <c r="A87" t="s">
        <v>683</v>
      </c>
      <c r="B87" t="s">
        <v>684</v>
      </c>
      <c r="C87" t="s">
        <v>685</v>
      </c>
      <c r="D87" t="s">
        <v>592</v>
      </c>
      <c r="E87" t="s">
        <v>686</v>
      </c>
      <c r="F87" t="s">
        <v>687</v>
      </c>
      <c r="G87" t="s">
        <v>688</v>
      </c>
      <c r="H87" t="s">
        <v>689</v>
      </c>
      <c r="I87" t="s">
        <v>690</v>
      </c>
      <c r="J87">
        <v>1.436666666666667</v>
      </c>
      <c r="K87" t="s">
        <v>77</v>
      </c>
    </row>
    <row r="88" spans="1:11" x14ac:dyDescent="0.35">
      <c r="A88" t="s">
        <v>691</v>
      </c>
      <c r="B88" t="s">
        <v>692</v>
      </c>
      <c r="C88" t="s">
        <v>693</v>
      </c>
      <c r="D88" t="s">
        <v>694</v>
      </c>
      <c r="E88" t="s">
        <v>695</v>
      </c>
      <c r="F88" t="s">
        <v>696</v>
      </c>
      <c r="G88" t="s">
        <v>697</v>
      </c>
      <c r="H88" t="s">
        <v>698</v>
      </c>
      <c r="I88" t="s">
        <v>699</v>
      </c>
      <c r="J88">
        <v>3.11</v>
      </c>
      <c r="K88" t="s">
        <v>182</v>
      </c>
    </row>
    <row r="89" spans="1:11" x14ac:dyDescent="0.35">
      <c r="A89" t="s">
        <v>700</v>
      </c>
      <c r="B89" t="s">
        <v>701</v>
      </c>
      <c r="C89" t="s">
        <v>702</v>
      </c>
      <c r="D89" t="s">
        <v>141</v>
      </c>
      <c r="E89" t="s">
        <v>286</v>
      </c>
      <c r="F89" t="s">
        <v>703</v>
      </c>
      <c r="G89" t="s">
        <v>704</v>
      </c>
      <c r="H89" t="s">
        <v>705</v>
      </c>
      <c r="I89" t="s">
        <v>706</v>
      </c>
      <c r="J89">
        <v>5.2600000000000007</v>
      </c>
      <c r="K89" t="s">
        <v>182</v>
      </c>
    </row>
    <row r="90" spans="1:11" x14ac:dyDescent="0.35">
      <c r="A90" t="s">
        <v>707</v>
      </c>
      <c r="B90" t="s">
        <v>708</v>
      </c>
      <c r="C90" t="s">
        <v>709</v>
      </c>
      <c r="D90" t="s">
        <v>101</v>
      </c>
      <c r="E90" t="s">
        <v>710</v>
      </c>
      <c r="F90" t="s">
        <v>711</v>
      </c>
      <c r="G90" t="s">
        <v>712</v>
      </c>
      <c r="H90" t="s">
        <v>713</v>
      </c>
      <c r="I90" t="s">
        <v>714</v>
      </c>
      <c r="J90">
        <v>0.8666666666666667</v>
      </c>
      <c r="K90" t="s">
        <v>182</v>
      </c>
    </row>
    <row r="91" spans="1:11" x14ac:dyDescent="0.35">
      <c r="A91" t="s">
        <v>715</v>
      </c>
      <c r="B91" t="s">
        <v>716</v>
      </c>
      <c r="C91" t="s">
        <v>717</v>
      </c>
      <c r="D91" t="s">
        <v>109</v>
      </c>
      <c r="E91" t="s">
        <v>718</v>
      </c>
      <c r="F91" t="s">
        <v>34</v>
      </c>
      <c r="G91" t="s">
        <v>719</v>
      </c>
      <c r="H91" t="s">
        <v>720</v>
      </c>
      <c r="I91" t="s">
        <v>721</v>
      </c>
      <c r="J91">
        <v>0.68333333333333346</v>
      </c>
      <c r="K91" t="s">
        <v>77</v>
      </c>
    </row>
    <row r="92" spans="1:11" x14ac:dyDescent="0.35">
      <c r="A92" t="s">
        <v>722</v>
      </c>
      <c r="B92" t="s">
        <v>723</v>
      </c>
      <c r="C92" t="s">
        <v>724</v>
      </c>
      <c r="D92" t="s">
        <v>466</v>
      </c>
      <c r="E92" t="s">
        <v>442</v>
      </c>
      <c r="F92" t="s">
        <v>725</v>
      </c>
      <c r="G92" t="s">
        <v>726</v>
      </c>
      <c r="H92" t="s">
        <v>727</v>
      </c>
      <c r="I92" t="s">
        <v>728</v>
      </c>
      <c r="J92">
        <v>0.73</v>
      </c>
      <c r="K92" t="s">
        <v>77</v>
      </c>
    </row>
    <row r="93" spans="1:11" x14ac:dyDescent="0.35">
      <c r="A93" t="s">
        <v>729</v>
      </c>
      <c r="B93" t="s">
        <v>730</v>
      </c>
      <c r="C93" t="s">
        <v>731</v>
      </c>
      <c r="D93" t="s">
        <v>732</v>
      </c>
      <c r="E93" t="s">
        <v>347</v>
      </c>
      <c r="F93" t="s">
        <v>733</v>
      </c>
      <c r="G93" t="s">
        <v>734</v>
      </c>
      <c r="H93" t="s">
        <v>735</v>
      </c>
      <c r="I93" t="s">
        <v>736</v>
      </c>
      <c r="J93">
        <v>2.0499999999999998</v>
      </c>
      <c r="K93" t="s">
        <v>182</v>
      </c>
    </row>
    <row r="94" spans="1:11" x14ac:dyDescent="0.35">
      <c r="A94" t="s">
        <v>737</v>
      </c>
      <c r="B94" t="s">
        <v>737</v>
      </c>
      <c r="C94" t="s">
        <v>738</v>
      </c>
      <c r="D94" t="s">
        <v>269</v>
      </c>
      <c r="E94" t="s">
        <v>739</v>
      </c>
      <c r="F94" t="s">
        <v>740</v>
      </c>
      <c r="G94" t="s">
        <v>741</v>
      </c>
      <c r="H94" t="s">
        <v>742</v>
      </c>
      <c r="I94" t="s">
        <v>743</v>
      </c>
      <c r="J94">
        <v>7.69</v>
      </c>
      <c r="K94" t="s">
        <v>182</v>
      </c>
    </row>
    <row r="95" spans="1:11" x14ac:dyDescent="0.35">
      <c r="A95" t="s">
        <v>744</v>
      </c>
      <c r="B95" t="s">
        <v>745</v>
      </c>
      <c r="C95" t="s">
        <v>746</v>
      </c>
      <c r="D95" t="s">
        <v>747</v>
      </c>
      <c r="E95" t="s">
        <v>24</v>
      </c>
      <c r="F95" t="s">
        <v>177</v>
      </c>
      <c r="G95" t="s">
        <v>748</v>
      </c>
      <c r="H95" t="s">
        <v>749</v>
      </c>
      <c r="I95" t="s">
        <v>750</v>
      </c>
      <c r="J95">
        <v>0.66333333333333333</v>
      </c>
      <c r="K95" t="s">
        <v>182</v>
      </c>
    </row>
    <row r="96" spans="1:11" x14ac:dyDescent="0.35">
      <c r="A96" t="s">
        <v>751</v>
      </c>
      <c r="B96" t="s">
        <v>752</v>
      </c>
      <c r="C96" t="s">
        <v>753</v>
      </c>
      <c r="D96" t="s">
        <v>193</v>
      </c>
      <c r="E96" t="s">
        <v>285</v>
      </c>
      <c r="F96" t="s">
        <v>160</v>
      </c>
      <c r="G96" t="s">
        <v>754</v>
      </c>
      <c r="H96" t="s">
        <v>755</v>
      </c>
      <c r="I96" t="s">
        <v>756</v>
      </c>
      <c r="J96">
        <v>0.45</v>
      </c>
      <c r="K96" t="s">
        <v>182</v>
      </c>
    </row>
    <row r="97" spans="1:11" x14ac:dyDescent="0.35">
      <c r="A97" t="s">
        <v>757</v>
      </c>
      <c r="B97" t="s">
        <v>758</v>
      </c>
      <c r="C97" t="s">
        <v>759</v>
      </c>
      <c r="D97" t="s">
        <v>760</v>
      </c>
      <c r="E97" t="s">
        <v>133</v>
      </c>
      <c r="F97" t="s">
        <v>761</v>
      </c>
      <c r="G97" t="s">
        <v>762</v>
      </c>
      <c r="H97" t="s">
        <v>763</v>
      </c>
      <c r="I97" t="s">
        <v>764</v>
      </c>
      <c r="J97">
        <v>16.940000000000001</v>
      </c>
      <c r="K97" t="s">
        <v>182</v>
      </c>
    </row>
    <row r="98" spans="1:11" x14ac:dyDescent="0.35">
      <c r="A98" t="s">
        <v>765</v>
      </c>
      <c r="B98" t="s">
        <v>766</v>
      </c>
      <c r="C98" t="s">
        <v>767</v>
      </c>
      <c r="D98" t="s">
        <v>768</v>
      </c>
      <c r="E98" t="s">
        <v>769</v>
      </c>
      <c r="F98" t="s">
        <v>770</v>
      </c>
      <c r="G98" t="s">
        <v>771</v>
      </c>
      <c r="H98" t="s">
        <v>772</v>
      </c>
      <c r="I98" t="s">
        <v>773</v>
      </c>
      <c r="J98">
        <v>3.3966666666666669</v>
      </c>
      <c r="K98" t="s">
        <v>182</v>
      </c>
    </row>
    <row r="99" spans="1:11" x14ac:dyDescent="0.35">
      <c r="A99" t="s">
        <v>774</v>
      </c>
      <c r="B99" t="s">
        <v>775</v>
      </c>
      <c r="C99" t="s">
        <v>776</v>
      </c>
      <c r="D99" t="s">
        <v>293</v>
      </c>
      <c r="E99" t="s">
        <v>434</v>
      </c>
      <c r="F99" t="s">
        <v>294</v>
      </c>
      <c r="G99" t="s">
        <v>777</v>
      </c>
      <c r="H99" t="s">
        <v>778</v>
      </c>
      <c r="I99" t="s">
        <v>779</v>
      </c>
      <c r="J99">
        <v>0.3133333333333333</v>
      </c>
      <c r="K99" t="s">
        <v>20</v>
      </c>
    </row>
    <row r="100" spans="1:11" x14ac:dyDescent="0.35">
      <c r="A100" t="s">
        <v>780</v>
      </c>
      <c r="B100" t="s">
        <v>781</v>
      </c>
      <c r="C100" t="s">
        <v>782</v>
      </c>
      <c r="D100" t="s">
        <v>33</v>
      </c>
      <c r="E100" t="s">
        <v>392</v>
      </c>
      <c r="F100" t="s">
        <v>783</v>
      </c>
      <c r="G100" t="s">
        <v>784</v>
      </c>
      <c r="H100" t="s">
        <v>785</v>
      </c>
      <c r="I100" t="s">
        <v>786</v>
      </c>
      <c r="J100">
        <v>0.5</v>
      </c>
      <c r="K100" t="s">
        <v>20</v>
      </c>
    </row>
    <row r="101" spans="1:11" x14ac:dyDescent="0.35">
      <c r="A101" t="s">
        <v>787</v>
      </c>
      <c r="B101" t="s">
        <v>788</v>
      </c>
      <c r="C101" t="s">
        <v>789</v>
      </c>
      <c r="D101" t="s">
        <v>790</v>
      </c>
      <c r="E101" t="s">
        <v>791</v>
      </c>
      <c r="F101" t="s">
        <v>792</v>
      </c>
      <c r="G101" t="s">
        <v>793</v>
      </c>
      <c r="H101" t="s">
        <v>794</v>
      </c>
      <c r="I101" t="s">
        <v>795</v>
      </c>
      <c r="J101">
        <v>3.2999999999999989</v>
      </c>
      <c r="K101" t="s">
        <v>182</v>
      </c>
    </row>
    <row r="102" spans="1:11" x14ac:dyDescent="0.35">
      <c r="A102" t="s">
        <v>796</v>
      </c>
      <c r="B102" t="s">
        <v>797</v>
      </c>
      <c r="C102" t="s">
        <v>798</v>
      </c>
      <c r="D102" t="s">
        <v>63</v>
      </c>
      <c r="E102" t="s">
        <v>799</v>
      </c>
      <c r="F102" t="s">
        <v>800</v>
      </c>
      <c r="G102" t="s">
        <v>801</v>
      </c>
      <c r="H102" t="s">
        <v>802</v>
      </c>
      <c r="I102" t="s">
        <v>803</v>
      </c>
      <c r="J102">
        <v>3.0766666666666671</v>
      </c>
      <c r="K102" t="s">
        <v>182</v>
      </c>
    </row>
    <row r="103" spans="1:11" x14ac:dyDescent="0.35">
      <c r="A103" t="s">
        <v>804</v>
      </c>
      <c r="B103" t="s">
        <v>805</v>
      </c>
      <c r="C103" t="s">
        <v>806</v>
      </c>
      <c r="D103" t="s">
        <v>807</v>
      </c>
      <c r="E103" t="s">
        <v>219</v>
      </c>
      <c r="F103" t="s">
        <v>808</v>
      </c>
      <c r="G103" t="s">
        <v>809</v>
      </c>
      <c r="H103" t="s">
        <v>810</v>
      </c>
      <c r="I103" t="s">
        <v>811</v>
      </c>
      <c r="J103">
        <v>3.68</v>
      </c>
      <c r="K103" t="s">
        <v>182</v>
      </c>
    </row>
    <row r="104" spans="1:11" x14ac:dyDescent="0.35">
      <c r="A104" t="s">
        <v>812</v>
      </c>
      <c r="B104" t="s">
        <v>813</v>
      </c>
      <c r="C104" t="s">
        <v>814</v>
      </c>
      <c r="D104" t="s">
        <v>277</v>
      </c>
      <c r="E104" t="s">
        <v>490</v>
      </c>
      <c r="F104" t="s">
        <v>383</v>
      </c>
      <c r="G104" t="s">
        <v>815</v>
      </c>
      <c r="H104" t="s">
        <v>816</v>
      </c>
      <c r="I104" t="s">
        <v>817</v>
      </c>
      <c r="J104">
        <v>0.56666666666666665</v>
      </c>
      <c r="K104" t="s">
        <v>182</v>
      </c>
    </row>
    <row r="105" spans="1:11" x14ac:dyDescent="0.35">
      <c r="A105" t="s">
        <v>818</v>
      </c>
      <c r="B105" t="s">
        <v>819</v>
      </c>
      <c r="C105" t="s">
        <v>820</v>
      </c>
      <c r="D105" t="s">
        <v>821</v>
      </c>
      <c r="E105" t="s">
        <v>822</v>
      </c>
      <c r="F105" t="s">
        <v>823</v>
      </c>
      <c r="G105" t="s">
        <v>824</v>
      </c>
      <c r="H105" t="s">
        <v>825</v>
      </c>
      <c r="I105" t="s">
        <v>826</v>
      </c>
      <c r="J105">
        <v>1.2033333333333329</v>
      </c>
      <c r="K105" t="s">
        <v>77</v>
      </c>
    </row>
    <row r="106" spans="1:11" x14ac:dyDescent="0.35">
      <c r="A106" t="s">
        <v>827</v>
      </c>
      <c r="B106" t="s">
        <v>828</v>
      </c>
      <c r="C106" t="s">
        <v>829</v>
      </c>
      <c r="D106" t="s">
        <v>830</v>
      </c>
      <c r="E106" t="s">
        <v>508</v>
      </c>
      <c r="F106" t="s">
        <v>831</v>
      </c>
      <c r="G106" t="s">
        <v>832</v>
      </c>
      <c r="H106" t="s">
        <v>833</v>
      </c>
      <c r="I106" t="s">
        <v>834</v>
      </c>
      <c r="J106">
        <v>2.97</v>
      </c>
      <c r="K106" t="s">
        <v>77</v>
      </c>
    </row>
    <row r="107" spans="1:11" x14ac:dyDescent="0.35">
      <c r="A107" t="s">
        <v>835</v>
      </c>
      <c r="B107" t="s">
        <v>836</v>
      </c>
      <c r="C107" t="s">
        <v>837</v>
      </c>
      <c r="D107" t="s">
        <v>687</v>
      </c>
      <c r="E107" t="s">
        <v>838</v>
      </c>
      <c r="F107" t="s">
        <v>839</v>
      </c>
      <c r="G107" t="s">
        <v>840</v>
      </c>
      <c r="H107" t="s">
        <v>841</v>
      </c>
      <c r="I107" t="s">
        <v>842</v>
      </c>
      <c r="J107">
        <v>33.483333333333327</v>
      </c>
      <c r="K107" t="s">
        <v>182</v>
      </c>
    </row>
    <row r="108" spans="1:11" x14ac:dyDescent="0.35">
      <c r="A108" t="s">
        <v>843</v>
      </c>
      <c r="B108" t="s">
        <v>844</v>
      </c>
      <c r="C108" t="s">
        <v>845</v>
      </c>
      <c r="D108" t="s">
        <v>286</v>
      </c>
      <c r="E108" t="s">
        <v>846</v>
      </c>
      <c r="F108" t="s">
        <v>847</v>
      </c>
      <c r="G108" t="s">
        <v>848</v>
      </c>
      <c r="H108" t="s">
        <v>849</v>
      </c>
      <c r="I108" t="s">
        <v>850</v>
      </c>
      <c r="J108">
        <v>4.76</v>
      </c>
      <c r="K108" t="s">
        <v>77</v>
      </c>
    </row>
    <row r="109" spans="1:11" x14ac:dyDescent="0.35">
      <c r="A109" t="s">
        <v>851</v>
      </c>
      <c r="B109" t="s">
        <v>852</v>
      </c>
      <c r="C109" t="s">
        <v>853</v>
      </c>
      <c r="D109" t="s">
        <v>365</v>
      </c>
      <c r="E109" t="s">
        <v>73</v>
      </c>
      <c r="F109" t="s">
        <v>854</v>
      </c>
      <c r="G109" t="s">
        <v>855</v>
      </c>
      <c r="H109" t="s">
        <v>856</v>
      </c>
      <c r="I109" t="s">
        <v>811</v>
      </c>
      <c r="J109">
        <v>1.533333333333333</v>
      </c>
      <c r="K109" t="s">
        <v>182</v>
      </c>
    </row>
    <row r="110" spans="1:11" x14ac:dyDescent="0.35">
      <c r="A110" t="s">
        <v>857</v>
      </c>
      <c r="B110" t="s">
        <v>858</v>
      </c>
      <c r="C110" t="s">
        <v>859</v>
      </c>
      <c r="D110" t="s">
        <v>269</v>
      </c>
      <c r="E110" t="s">
        <v>15</v>
      </c>
      <c r="F110" t="s">
        <v>678</v>
      </c>
      <c r="G110" t="s">
        <v>860</v>
      </c>
      <c r="H110" t="s">
        <v>861</v>
      </c>
      <c r="I110" t="s">
        <v>862</v>
      </c>
      <c r="J110">
        <v>1.216666666666667</v>
      </c>
      <c r="K110" t="s">
        <v>20</v>
      </c>
    </row>
    <row r="111" spans="1:11" x14ac:dyDescent="0.35">
      <c r="A111" t="s">
        <v>863</v>
      </c>
      <c r="B111" t="s">
        <v>864</v>
      </c>
      <c r="C111" t="s">
        <v>865</v>
      </c>
      <c r="D111" t="s">
        <v>365</v>
      </c>
      <c r="E111" t="s">
        <v>294</v>
      </c>
      <c r="F111" t="s">
        <v>866</v>
      </c>
      <c r="G111" t="s">
        <v>867</v>
      </c>
      <c r="H111" t="s">
        <v>868</v>
      </c>
      <c r="I111" t="s">
        <v>869</v>
      </c>
      <c r="J111">
        <v>1.54</v>
      </c>
      <c r="K111" t="s">
        <v>182</v>
      </c>
    </row>
    <row r="112" spans="1:11" x14ac:dyDescent="0.35">
      <c r="A112" t="s">
        <v>870</v>
      </c>
      <c r="B112" t="s">
        <v>871</v>
      </c>
      <c r="C112" t="s">
        <v>872</v>
      </c>
      <c r="D112" t="s">
        <v>873</v>
      </c>
      <c r="E112" t="s">
        <v>874</v>
      </c>
      <c r="F112" t="s">
        <v>875</v>
      </c>
      <c r="G112" t="s">
        <v>876</v>
      </c>
      <c r="H112" t="s">
        <v>877</v>
      </c>
      <c r="I112" t="s">
        <v>878</v>
      </c>
      <c r="J112">
        <v>2.8966666666666669</v>
      </c>
      <c r="K112" t="s">
        <v>182</v>
      </c>
    </row>
    <row r="113" spans="1:11" x14ac:dyDescent="0.35">
      <c r="A113" t="s">
        <v>879</v>
      </c>
      <c r="B113" t="s">
        <v>880</v>
      </c>
      <c r="C113" t="s">
        <v>881</v>
      </c>
      <c r="D113" t="s">
        <v>882</v>
      </c>
      <c r="E113" t="s">
        <v>883</v>
      </c>
      <c r="F113" t="s">
        <v>884</v>
      </c>
      <c r="G113" t="s">
        <v>885</v>
      </c>
      <c r="H113" t="s">
        <v>886</v>
      </c>
      <c r="I113" t="s">
        <v>887</v>
      </c>
      <c r="J113">
        <v>5.0333333333333332</v>
      </c>
      <c r="K113" t="s">
        <v>182</v>
      </c>
    </row>
    <row r="114" spans="1:11" x14ac:dyDescent="0.35">
      <c r="A114" t="s">
        <v>888</v>
      </c>
      <c r="B114" t="s">
        <v>889</v>
      </c>
      <c r="C114" t="s">
        <v>890</v>
      </c>
      <c r="D114" t="s">
        <v>33</v>
      </c>
      <c r="E114" t="s">
        <v>41</v>
      </c>
      <c r="F114" t="s">
        <v>891</v>
      </c>
      <c r="G114" t="s">
        <v>892</v>
      </c>
      <c r="H114" t="s">
        <v>893</v>
      </c>
      <c r="I114" t="s">
        <v>894</v>
      </c>
      <c r="J114">
        <v>1.226666666666667</v>
      </c>
      <c r="K114" t="s">
        <v>20</v>
      </c>
    </row>
    <row r="115" spans="1:11" x14ac:dyDescent="0.35">
      <c r="A115" t="s">
        <v>895</v>
      </c>
      <c r="B115" t="s">
        <v>896</v>
      </c>
      <c r="C115" t="s">
        <v>897</v>
      </c>
      <c r="D115" t="s">
        <v>33</v>
      </c>
      <c r="E115" t="s">
        <v>63</v>
      </c>
      <c r="F115" t="s">
        <v>293</v>
      </c>
      <c r="G115" t="s">
        <v>898</v>
      </c>
      <c r="H115" t="s">
        <v>899</v>
      </c>
      <c r="I115" t="s">
        <v>900</v>
      </c>
      <c r="J115">
        <v>0.06</v>
      </c>
      <c r="K115" t="s">
        <v>182</v>
      </c>
    </row>
    <row r="116" spans="1:11" x14ac:dyDescent="0.35">
      <c r="A116" t="s">
        <v>901</v>
      </c>
      <c r="B116" t="s">
        <v>902</v>
      </c>
      <c r="C116" t="s">
        <v>903</v>
      </c>
      <c r="D116" t="s">
        <v>694</v>
      </c>
      <c r="E116" t="s">
        <v>535</v>
      </c>
      <c r="F116" t="s">
        <v>904</v>
      </c>
      <c r="G116" t="s">
        <v>905</v>
      </c>
      <c r="H116" t="s">
        <v>906</v>
      </c>
      <c r="I116" t="s">
        <v>907</v>
      </c>
      <c r="J116">
        <v>1</v>
      </c>
      <c r="K116" t="s">
        <v>77</v>
      </c>
    </row>
    <row r="117" spans="1:11" x14ac:dyDescent="0.35">
      <c r="A117" t="s">
        <v>908</v>
      </c>
      <c r="B117" t="s">
        <v>908</v>
      </c>
      <c r="C117" t="s">
        <v>909</v>
      </c>
      <c r="D117" t="s">
        <v>101</v>
      </c>
      <c r="E117" t="s">
        <v>910</v>
      </c>
      <c r="F117" t="s">
        <v>911</v>
      </c>
      <c r="G117" t="s">
        <v>912</v>
      </c>
      <c r="H117" t="s">
        <v>913</v>
      </c>
      <c r="I117" t="s">
        <v>421</v>
      </c>
      <c r="J117">
        <v>3.02</v>
      </c>
      <c r="K117" t="s">
        <v>182</v>
      </c>
    </row>
    <row r="118" spans="1:11" x14ac:dyDescent="0.35">
      <c r="A118" t="s">
        <v>914</v>
      </c>
      <c r="B118" t="s">
        <v>915</v>
      </c>
      <c r="C118" t="s">
        <v>916</v>
      </c>
      <c r="D118" t="s">
        <v>56</v>
      </c>
      <c r="E118" t="s">
        <v>33</v>
      </c>
      <c r="F118" t="s">
        <v>56</v>
      </c>
      <c r="G118" t="s">
        <v>917</v>
      </c>
      <c r="H118" t="s">
        <v>918</v>
      </c>
      <c r="I118" t="s">
        <v>919</v>
      </c>
      <c r="J118">
        <v>0.02</v>
      </c>
      <c r="K118" t="s">
        <v>38</v>
      </c>
    </row>
    <row r="119" spans="1:11" x14ac:dyDescent="0.35">
      <c r="A119" t="s">
        <v>920</v>
      </c>
      <c r="B119" t="s">
        <v>920</v>
      </c>
      <c r="C119" t="s">
        <v>921</v>
      </c>
      <c r="D119" t="s">
        <v>90</v>
      </c>
      <c r="E119" t="s">
        <v>922</v>
      </c>
      <c r="F119" t="s">
        <v>923</v>
      </c>
      <c r="G119" t="s">
        <v>924</v>
      </c>
      <c r="H119" t="s">
        <v>925</v>
      </c>
      <c r="I119" t="s">
        <v>926</v>
      </c>
      <c r="J119">
        <v>7.54</v>
      </c>
      <c r="K119" t="s">
        <v>182</v>
      </c>
    </row>
    <row r="120" spans="1:11" x14ac:dyDescent="0.35">
      <c r="A120" t="s">
        <v>927</v>
      </c>
      <c r="B120" t="s">
        <v>928</v>
      </c>
      <c r="C120" t="s">
        <v>929</v>
      </c>
      <c r="D120" t="s">
        <v>466</v>
      </c>
      <c r="E120" t="s">
        <v>255</v>
      </c>
      <c r="F120" t="s">
        <v>102</v>
      </c>
      <c r="G120" t="s">
        <v>930</v>
      </c>
      <c r="H120" t="s">
        <v>931</v>
      </c>
      <c r="I120" t="s">
        <v>932</v>
      </c>
      <c r="J120">
        <v>0.46</v>
      </c>
      <c r="K120" t="s">
        <v>182</v>
      </c>
    </row>
    <row r="121" spans="1:11" x14ac:dyDescent="0.35">
      <c r="A121" t="s">
        <v>933</v>
      </c>
      <c r="B121" t="s">
        <v>934</v>
      </c>
      <c r="C121" t="s">
        <v>935</v>
      </c>
      <c r="D121" t="s">
        <v>276</v>
      </c>
      <c r="E121" t="s">
        <v>823</v>
      </c>
      <c r="F121" t="s">
        <v>936</v>
      </c>
      <c r="G121" t="s">
        <v>937</v>
      </c>
      <c r="H121" t="s">
        <v>938</v>
      </c>
      <c r="I121" t="s">
        <v>939</v>
      </c>
      <c r="J121">
        <v>3.45</v>
      </c>
      <c r="K121" t="s">
        <v>182</v>
      </c>
    </row>
    <row r="122" spans="1:11" x14ac:dyDescent="0.35">
      <c r="A122" t="s">
        <v>940</v>
      </c>
      <c r="B122" t="s">
        <v>941</v>
      </c>
      <c r="C122" t="s">
        <v>942</v>
      </c>
      <c r="D122" t="s">
        <v>943</v>
      </c>
      <c r="E122" t="s">
        <v>944</v>
      </c>
      <c r="F122" t="s">
        <v>945</v>
      </c>
      <c r="G122" t="s">
        <v>946</v>
      </c>
      <c r="H122" t="s">
        <v>947</v>
      </c>
      <c r="I122" t="s">
        <v>948</v>
      </c>
      <c r="J122">
        <v>19.559999999999999</v>
      </c>
      <c r="K122" t="s">
        <v>182</v>
      </c>
    </row>
    <row r="123" spans="1:11" x14ac:dyDescent="0.35">
      <c r="A123" t="s">
        <v>949</v>
      </c>
      <c r="B123" t="s">
        <v>949</v>
      </c>
      <c r="C123" t="s">
        <v>950</v>
      </c>
      <c r="D123" t="s">
        <v>442</v>
      </c>
      <c r="E123" t="s">
        <v>629</v>
      </c>
      <c r="F123" t="s">
        <v>951</v>
      </c>
      <c r="G123" t="s">
        <v>952</v>
      </c>
      <c r="H123" t="s">
        <v>953</v>
      </c>
      <c r="I123" t="s">
        <v>954</v>
      </c>
      <c r="J123">
        <v>1.696666666666667</v>
      </c>
      <c r="K123" t="s">
        <v>182</v>
      </c>
    </row>
    <row r="124" spans="1:11" x14ac:dyDescent="0.35">
      <c r="A124" t="s">
        <v>955</v>
      </c>
      <c r="B124" t="s">
        <v>956</v>
      </c>
      <c r="C124" t="s">
        <v>957</v>
      </c>
      <c r="D124" t="s">
        <v>637</v>
      </c>
      <c r="E124" t="s">
        <v>202</v>
      </c>
      <c r="F124" t="s">
        <v>958</v>
      </c>
      <c r="G124" t="s">
        <v>959</v>
      </c>
      <c r="H124" t="s">
        <v>960</v>
      </c>
      <c r="I124" t="s">
        <v>961</v>
      </c>
      <c r="J124">
        <v>0.76666666666666661</v>
      </c>
      <c r="K124" t="s">
        <v>182</v>
      </c>
    </row>
    <row r="125" spans="1:11" x14ac:dyDescent="0.35">
      <c r="A125" t="s">
        <v>962</v>
      </c>
      <c r="B125" t="s">
        <v>963</v>
      </c>
      <c r="C125" t="s">
        <v>964</v>
      </c>
      <c r="D125" t="s">
        <v>193</v>
      </c>
      <c r="E125" t="s">
        <v>600</v>
      </c>
      <c r="F125" t="s">
        <v>376</v>
      </c>
      <c r="G125" t="s">
        <v>965</v>
      </c>
      <c r="H125" t="s">
        <v>966</v>
      </c>
      <c r="I125" t="s">
        <v>967</v>
      </c>
      <c r="J125">
        <v>1.54</v>
      </c>
      <c r="K125" t="s">
        <v>182</v>
      </c>
    </row>
    <row r="126" spans="1:11" x14ac:dyDescent="0.35">
      <c r="A126" t="s">
        <v>968</v>
      </c>
      <c r="B126" t="s">
        <v>969</v>
      </c>
      <c r="C126" t="s">
        <v>970</v>
      </c>
      <c r="D126" t="s">
        <v>101</v>
      </c>
      <c r="E126" t="s">
        <v>42</v>
      </c>
      <c r="F126" t="s">
        <v>376</v>
      </c>
      <c r="G126" t="s">
        <v>971</v>
      </c>
      <c r="H126" t="s">
        <v>972</v>
      </c>
      <c r="I126" t="s">
        <v>633</v>
      </c>
      <c r="J126">
        <v>2.1733333333333329</v>
      </c>
      <c r="K126" t="s">
        <v>77</v>
      </c>
    </row>
    <row r="127" spans="1:11" x14ac:dyDescent="0.35">
      <c r="A127" t="s">
        <v>973</v>
      </c>
      <c r="B127" t="s">
        <v>974</v>
      </c>
      <c r="C127" t="s">
        <v>975</v>
      </c>
      <c r="D127" t="s">
        <v>48</v>
      </c>
      <c r="E127" t="s">
        <v>976</v>
      </c>
      <c r="F127" t="s">
        <v>977</v>
      </c>
      <c r="G127" t="s">
        <v>978</v>
      </c>
      <c r="H127" t="s">
        <v>979</v>
      </c>
      <c r="I127" t="s">
        <v>980</v>
      </c>
      <c r="J127">
        <v>2.4933333333333332</v>
      </c>
      <c r="K127" t="s">
        <v>77</v>
      </c>
    </row>
    <row r="128" spans="1:11" x14ac:dyDescent="0.35">
      <c r="A128" t="s">
        <v>981</v>
      </c>
      <c r="B128" t="s">
        <v>982</v>
      </c>
      <c r="C128" t="s">
        <v>983</v>
      </c>
      <c r="D128" t="s">
        <v>34</v>
      </c>
      <c r="E128" t="s">
        <v>466</v>
      </c>
      <c r="F128" t="s">
        <v>646</v>
      </c>
      <c r="G128" t="s">
        <v>984</v>
      </c>
      <c r="H128" t="s">
        <v>985</v>
      </c>
      <c r="I128" t="s">
        <v>986</v>
      </c>
      <c r="J128">
        <v>0.34</v>
      </c>
      <c r="K128" t="s">
        <v>38</v>
      </c>
    </row>
    <row r="129" spans="1:11" x14ac:dyDescent="0.35">
      <c r="A129" t="s">
        <v>987</v>
      </c>
      <c r="B129" t="s">
        <v>988</v>
      </c>
      <c r="C129" t="s">
        <v>989</v>
      </c>
      <c r="D129" t="s">
        <v>132</v>
      </c>
      <c r="E129" t="s">
        <v>176</v>
      </c>
      <c r="F129" t="s">
        <v>990</v>
      </c>
      <c r="G129" t="s">
        <v>991</v>
      </c>
      <c r="H129" t="s">
        <v>992</v>
      </c>
      <c r="I129" t="s">
        <v>993</v>
      </c>
      <c r="J129">
        <v>1.6533333333333331</v>
      </c>
      <c r="K129" t="s">
        <v>38</v>
      </c>
    </row>
    <row r="130" spans="1:11" x14ac:dyDescent="0.35">
      <c r="A130" t="s">
        <v>994</v>
      </c>
      <c r="B130" t="s">
        <v>995</v>
      </c>
      <c r="C130" t="s">
        <v>996</v>
      </c>
      <c r="D130" t="s">
        <v>91</v>
      </c>
      <c r="E130" t="s">
        <v>997</v>
      </c>
      <c r="F130" t="s">
        <v>998</v>
      </c>
      <c r="G130" t="s">
        <v>999</v>
      </c>
      <c r="H130" t="s">
        <v>1000</v>
      </c>
      <c r="I130" t="s">
        <v>1001</v>
      </c>
      <c r="J130">
        <v>2.78</v>
      </c>
      <c r="K130" t="s">
        <v>38</v>
      </c>
    </row>
    <row r="131" spans="1:11" x14ac:dyDescent="0.35">
      <c r="A131" t="s">
        <v>1002</v>
      </c>
      <c r="B131" t="s">
        <v>1003</v>
      </c>
      <c r="C131" t="s">
        <v>1004</v>
      </c>
      <c r="D131" t="s">
        <v>102</v>
      </c>
      <c r="E131" t="s">
        <v>711</v>
      </c>
      <c r="F131" t="s">
        <v>1005</v>
      </c>
      <c r="G131" t="s">
        <v>1006</v>
      </c>
      <c r="H131" t="s">
        <v>1007</v>
      </c>
      <c r="I131" t="s">
        <v>811</v>
      </c>
      <c r="J131">
        <v>7.5999999999999988</v>
      </c>
      <c r="K131" t="s">
        <v>182</v>
      </c>
    </row>
    <row r="132" spans="1:11" x14ac:dyDescent="0.35">
      <c r="A132" t="s">
        <v>1008</v>
      </c>
      <c r="B132" t="s">
        <v>1009</v>
      </c>
      <c r="C132" t="s">
        <v>1010</v>
      </c>
      <c r="D132" t="s">
        <v>117</v>
      </c>
      <c r="E132" t="s">
        <v>102</v>
      </c>
      <c r="F132" t="s">
        <v>219</v>
      </c>
      <c r="G132" t="s">
        <v>1011</v>
      </c>
      <c r="H132" t="s">
        <v>1012</v>
      </c>
      <c r="I132" t="s">
        <v>1013</v>
      </c>
      <c r="J132">
        <v>1.1133333333333331</v>
      </c>
      <c r="K132" t="s">
        <v>182</v>
      </c>
    </row>
    <row r="133" spans="1:11" x14ac:dyDescent="0.35">
      <c r="A133" t="s">
        <v>1014</v>
      </c>
      <c r="B133" t="s">
        <v>1014</v>
      </c>
      <c r="C133" t="s">
        <v>1015</v>
      </c>
      <c r="D133" t="s">
        <v>63</v>
      </c>
      <c r="E133" t="s">
        <v>694</v>
      </c>
      <c r="F133" t="s">
        <v>686</v>
      </c>
      <c r="G133" t="s">
        <v>1016</v>
      </c>
      <c r="H133" t="s">
        <v>1017</v>
      </c>
      <c r="I133" t="s">
        <v>1018</v>
      </c>
      <c r="J133">
        <v>0.34</v>
      </c>
      <c r="K133" t="s">
        <v>182</v>
      </c>
    </row>
    <row r="134" spans="1:11" x14ac:dyDescent="0.35">
      <c r="A134" t="s">
        <v>1019</v>
      </c>
      <c r="B134" t="s">
        <v>1020</v>
      </c>
      <c r="C134" t="s">
        <v>1021</v>
      </c>
      <c r="D134" t="s">
        <v>1022</v>
      </c>
      <c r="E134" t="s">
        <v>1023</v>
      </c>
      <c r="F134" t="s">
        <v>1024</v>
      </c>
      <c r="G134" t="s">
        <v>1025</v>
      </c>
      <c r="H134" t="s">
        <v>1026</v>
      </c>
      <c r="I134" t="s">
        <v>1027</v>
      </c>
      <c r="J134">
        <v>30.38</v>
      </c>
      <c r="K134" t="s">
        <v>77</v>
      </c>
    </row>
    <row r="135" spans="1:11" x14ac:dyDescent="0.35">
      <c r="A135" t="s">
        <v>1028</v>
      </c>
      <c r="B135" t="s">
        <v>1029</v>
      </c>
      <c r="C135" t="s">
        <v>1030</v>
      </c>
      <c r="D135" t="s">
        <v>1031</v>
      </c>
      <c r="E135" t="s">
        <v>1032</v>
      </c>
      <c r="F135" t="s">
        <v>1033</v>
      </c>
      <c r="G135" t="s">
        <v>1034</v>
      </c>
      <c r="H135" t="s">
        <v>1035</v>
      </c>
      <c r="I135" t="s">
        <v>1036</v>
      </c>
      <c r="J135">
        <v>11.446666666666671</v>
      </c>
      <c r="K135" t="s">
        <v>182</v>
      </c>
    </row>
    <row r="136" spans="1:11" x14ac:dyDescent="0.35">
      <c r="A136" t="s">
        <v>1037</v>
      </c>
      <c r="B136" t="s">
        <v>1038</v>
      </c>
      <c r="C136" t="s">
        <v>1039</v>
      </c>
      <c r="D136" t="s">
        <v>1040</v>
      </c>
      <c r="E136" t="s">
        <v>1041</v>
      </c>
      <c r="F136" t="s">
        <v>687</v>
      </c>
      <c r="G136" t="s">
        <v>1042</v>
      </c>
      <c r="H136" t="s">
        <v>1043</v>
      </c>
      <c r="I136" t="s">
        <v>1044</v>
      </c>
      <c r="J136">
        <v>2.063333333333333</v>
      </c>
      <c r="K136" t="s">
        <v>182</v>
      </c>
    </row>
    <row r="137" spans="1:11" x14ac:dyDescent="0.35">
      <c r="A137" t="s">
        <v>1045</v>
      </c>
      <c r="B137" t="s">
        <v>1046</v>
      </c>
      <c r="C137" t="s">
        <v>1047</v>
      </c>
      <c r="D137" t="s">
        <v>33</v>
      </c>
      <c r="E137" t="s">
        <v>56</v>
      </c>
      <c r="F137" t="s">
        <v>101</v>
      </c>
      <c r="G137" t="s">
        <v>1048</v>
      </c>
      <c r="H137" t="s">
        <v>1049</v>
      </c>
      <c r="I137" t="s">
        <v>1050</v>
      </c>
      <c r="J137">
        <v>1.666666666666667E-2</v>
      </c>
      <c r="K137" t="s">
        <v>38</v>
      </c>
    </row>
    <row r="138" spans="1:11" x14ac:dyDescent="0.35">
      <c r="A138" t="s">
        <v>1051</v>
      </c>
      <c r="B138" t="s">
        <v>1052</v>
      </c>
      <c r="C138" t="s">
        <v>1053</v>
      </c>
      <c r="D138" t="s">
        <v>64</v>
      </c>
      <c r="E138" t="s">
        <v>1054</v>
      </c>
      <c r="F138" t="s">
        <v>1055</v>
      </c>
      <c r="G138" t="s">
        <v>1056</v>
      </c>
      <c r="H138" t="s">
        <v>1057</v>
      </c>
      <c r="I138" t="s">
        <v>1058</v>
      </c>
      <c r="J138">
        <v>1.0866666666666669</v>
      </c>
      <c r="K138" t="s">
        <v>182</v>
      </c>
    </row>
    <row r="139" spans="1:11" x14ac:dyDescent="0.35">
      <c r="A139" t="s">
        <v>1059</v>
      </c>
      <c r="B139" t="s">
        <v>1060</v>
      </c>
      <c r="C139" t="s">
        <v>1061</v>
      </c>
      <c r="D139" t="s">
        <v>33</v>
      </c>
      <c r="E139" t="s">
        <v>33</v>
      </c>
      <c r="F139" t="s">
        <v>33</v>
      </c>
      <c r="G139" t="s">
        <v>1062</v>
      </c>
      <c r="I139" t="s">
        <v>1063</v>
      </c>
      <c r="J139">
        <v>0</v>
      </c>
      <c r="K139" t="s">
        <v>182</v>
      </c>
    </row>
    <row r="140" spans="1:11" x14ac:dyDescent="0.35">
      <c r="A140" t="s">
        <v>1064</v>
      </c>
      <c r="B140" t="s">
        <v>1065</v>
      </c>
      <c r="C140" t="s">
        <v>1066</v>
      </c>
      <c r="D140" t="s">
        <v>90</v>
      </c>
      <c r="E140" t="s">
        <v>1067</v>
      </c>
      <c r="F140" t="s">
        <v>401</v>
      </c>
      <c r="G140" t="s">
        <v>1068</v>
      </c>
      <c r="H140" t="s">
        <v>1069</v>
      </c>
      <c r="I140" t="s">
        <v>1070</v>
      </c>
      <c r="J140">
        <v>2.35</v>
      </c>
      <c r="K140" t="s">
        <v>38</v>
      </c>
    </row>
    <row r="141" spans="1:11" x14ac:dyDescent="0.35">
      <c r="A141" t="s">
        <v>1071</v>
      </c>
      <c r="B141" t="s">
        <v>1072</v>
      </c>
      <c r="C141" t="s">
        <v>1073</v>
      </c>
      <c r="D141" t="s">
        <v>1074</v>
      </c>
      <c r="E141" t="s">
        <v>374</v>
      </c>
      <c r="F141" t="s">
        <v>1075</v>
      </c>
      <c r="G141" t="s">
        <v>1076</v>
      </c>
      <c r="H141" t="s">
        <v>1077</v>
      </c>
      <c r="I141" t="s">
        <v>1078</v>
      </c>
      <c r="J141">
        <v>0.89</v>
      </c>
      <c r="K141" t="s">
        <v>182</v>
      </c>
    </row>
    <row r="142" spans="1:11" x14ac:dyDescent="0.35">
      <c r="A142" t="s">
        <v>1079</v>
      </c>
      <c r="B142" t="s">
        <v>1080</v>
      </c>
      <c r="C142" t="s">
        <v>1081</v>
      </c>
      <c r="D142" t="s">
        <v>168</v>
      </c>
      <c r="E142" t="s">
        <v>347</v>
      </c>
      <c r="F142" t="s">
        <v>1082</v>
      </c>
      <c r="G142" t="s">
        <v>1083</v>
      </c>
      <c r="H142" t="s">
        <v>1084</v>
      </c>
      <c r="I142" t="s">
        <v>1085</v>
      </c>
      <c r="J142">
        <v>4.7833333333333332</v>
      </c>
      <c r="K142" t="s">
        <v>182</v>
      </c>
    </row>
    <row r="143" spans="1:11" x14ac:dyDescent="0.35">
      <c r="A143" t="s">
        <v>1086</v>
      </c>
      <c r="B143" t="s">
        <v>1087</v>
      </c>
      <c r="C143" t="s">
        <v>1088</v>
      </c>
      <c r="D143" t="s">
        <v>711</v>
      </c>
      <c r="E143" t="s">
        <v>348</v>
      </c>
      <c r="F143" t="s">
        <v>1089</v>
      </c>
      <c r="G143" t="s">
        <v>1090</v>
      </c>
      <c r="H143" t="s">
        <v>1091</v>
      </c>
      <c r="I143" t="s">
        <v>1092</v>
      </c>
      <c r="J143">
        <v>4.67</v>
      </c>
      <c r="K143" t="s">
        <v>38</v>
      </c>
    </row>
    <row r="144" spans="1:11" x14ac:dyDescent="0.35">
      <c r="A144" t="s">
        <v>1093</v>
      </c>
      <c r="B144" t="s">
        <v>1094</v>
      </c>
      <c r="C144" t="s">
        <v>1095</v>
      </c>
      <c r="D144" t="s">
        <v>255</v>
      </c>
      <c r="E144" t="s">
        <v>1096</v>
      </c>
      <c r="F144" t="s">
        <v>434</v>
      </c>
      <c r="G144" t="s">
        <v>1097</v>
      </c>
      <c r="H144" t="s">
        <v>1098</v>
      </c>
      <c r="I144" t="s">
        <v>1099</v>
      </c>
      <c r="J144">
        <v>1.54</v>
      </c>
      <c r="K144" t="s">
        <v>182</v>
      </c>
    </row>
    <row r="145" spans="1:11" x14ac:dyDescent="0.35">
      <c r="A145" t="s">
        <v>1100</v>
      </c>
      <c r="B145" t="s">
        <v>1101</v>
      </c>
      <c r="C145" t="s">
        <v>1102</v>
      </c>
      <c r="D145" t="s">
        <v>647</v>
      </c>
      <c r="E145" t="s">
        <v>1103</v>
      </c>
      <c r="F145" t="s">
        <v>33</v>
      </c>
      <c r="G145" t="s">
        <v>1104</v>
      </c>
      <c r="H145" t="s">
        <v>1105</v>
      </c>
      <c r="I145" t="s">
        <v>1106</v>
      </c>
      <c r="J145">
        <v>0.64</v>
      </c>
      <c r="K145" t="s">
        <v>77</v>
      </c>
    </row>
    <row r="146" spans="1:11" x14ac:dyDescent="0.35">
      <c r="A146" t="s">
        <v>1107</v>
      </c>
      <c r="B146" t="s">
        <v>1108</v>
      </c>
      <c r="C146" t="s">
        <v>1109</v>
      </c>
      <c r="D146" t="s">
        <v>1110</v>
      </c>
      <c r="E146" t="s">
        <v>854</v>
      </c>
      <c r="F146" t="s">
        <v>1111</v>
      </c>
      <c r="G146" t="s">
        <v>1112</v>
      </c>
      <c r="H146" t="s">
        <v>1113</v>
      </c>
      <c r="I146" t="s">
        <v>1114</v>
      </c>
      <c r="J146">
        <v>3.92</v>
      </c>
      <c r="K146" t="s">
        <v>182</v>
      </c>
    </row>
    <row r="147" spans="1:11" x14ac:dyDescent="0.35">
      <c r="A147" t="s">
        <v>1115</v>
      </c>
      <c r="B147" t="s">
        <v>1116</v>
      </c>
      <c r="C147" t="s">
        <v>1117</v>
      </c>
      <c r="D147" t="s">
        <v>56</v>
      </c>
      <c r="E147" t="s">
        <v>760</v>
      </c>
      <c r="F147" t="s">
        <v>1118</v>
      </c>
      <c r="G147" t="s">
        <v>1119</v>
      </c>
      <c r="H147" t="s">
        <v>1120</v>
      </c>
      <c r="I147" t="s">
        <v>1121</v>
      </c>
      <c r="J147">
        <v>0.19</v>
      </c>
      <c r="K147" t="s">
        <v>182</v>
      </c>
    </row>
    <row r="148" spans="1:11" x14ac:dyDescent="0.35">
      <c r="A148" t="s">
        <v>1122</v>
      </c>
      <c r="B148" t="s">
        <v>1123</v>
      </c>
      <c r="C148" t="s">
        <v>1124</v>
      </c>
      <c r="D148" t="s">
        <v>710</v>
      </c>
      <c r="E148" t="s">
        <v>1125</v>
      </c>
      <c r="F148" t="s">
        <v>1126</v>
      </c>
      <c r="G148" t="s">
        <v>1127</v>
      </c>
      <c r="H148" t="s">
        <v>1128</v>
      </c>
      <c r="I148" t="s">
        <v>1129</v>
      </c>
      <c r="J148">
        <v>4.9899999999999993</v>
      </c>
      <c r="K148" t="s">
        <v>182</v>
      </c>
    </row>
    <row r="149" spans="1:11" x14ac:dyDescent="0.35">
      <c r="A149" t="s">
        <v>1130</v>
      </c>
      <c r="B149" t="s">
        <v>1131</v>
      </c>
      <c r="C149" t="s">
        <v>1132</v>
      </c>
      <c r="D149" t="s">
        <v>760</v>
      </c>
      <c r="E149" t="s">
        <v>1133</v>
      </c>
      <c r="F149" t="s">
        <v>293</v>
      </c>
      <c r="G149" t="s">
        <v>1134</v>
      </c>
      <c r="H149" t="s">
        <v>1135</v>
      </c>
      <c r="I149" t="s">
        <v>1136</v>
      </c>
      <c r="J149">
        <v>0.33666666666666673</v>
      </c>
      <c r="K149" t="s">
        <v>182</v>
      </c>
    </row>
    <row r="150" spans="1:11" x14ac:dyDescent="0.35">
      <c r="A150" t="s">
        <v>1137</v>
      </c>
      <c r="B150" t="s">
        <v>1138</v>
      </c>
      <c r="C150" t="s">
        <v>1139</v>
      </c>
      <c r="D150" t="s">
        <v>48</v>
      </c>
      <c r="E150" t="s">
        <v>132</v>
      </c>
      <c r="F150" t="s">
        <v>1140</v>
      </c>
      <c r="G150" t="s">
        <v>1141</v>
      </c>
      <c r="H150" t="s">
        <v>1142</v>
      </c>
      <c r="I150" t="s">
        <v>1143</v>
      </c>
      <c r="J150">
        <v>1.8633333333333331</v>
      </c>
      <c r="K150" t="s">
        <v>38</v>
      </c>
    </row>
    <row r="151" spans="1:11" x14ac:dyDescent="0.35">
      <c r="A151" t="s">
        <v>1144</v>
      </c>
      <c r="B151" t="s">
        <v>1145</v>
      </c>
      <c r="C151" t="s">
        <v>1146</v>
      </c>
      <c r="D151" t="s">
        <v>592</v>
      </c>
      <c r="E151" t="s">
        <v>567</v>
      </c>
      <c r="F151" t="s">
        <v>1147</v>
      </c>
      <c r="G151" t="s">
        <v>1148</v>
      </c>
      <c r="H151" t="s">
        <v>1149</v>
      </c>
      <c r="I151" t="s">
        <v>1150</v>
      </c>
      <c r="J151">
        <v>13.44333333333334</v>
      </c>
      <c r="K151" t="s">
        <v>182</v>
      </c>
    </row>
    <row r="152" spans="1:11" x14ac:dyDescent="0.35">
      <c r="A152" t="s">
        <v>1151</v>
      </c>
      <c r="B152" t="s">
        <v>1152</v>
      </c>
      <c r="C152" t="s">
        <v>1153</v>
      </c>
      <c r="D152" t="s">
        <v>24</v>
      </c>
      <c r="E152" t="s">
        <v>1125</v>
      </c>
      <c r="F152" t="s">
        <v>1154</v>
      </c>
      <c r="G152" t="s">
        <v>1155</v>
      </c>
      <c r="H152" t="s">
        <v>1156</v>
      </c>
      <c r="I152" t="s">
        <v>1157</v>
      </c>
      <c r="J152">
        <v>4.8099999999999996</v>
      </c>
      <c r="K152" t="s">
        <v>77</v>
      </c>
    </row>
    <row r="153" spans="1:11" x14ac:dyDescent="0.35">
      <c r="A153" t="s">
        <v>1158</v>
      </c>
      <c r="B153" t="s">
        <v>1159</v>
      </c>
      <c r="C153" t="s">
        <v>1160</v>
      </c>
      <c r="D153" t="s">
        <v>1161</v>
      </c>
      <c r="E153" t="s">
        <v>1162</v>
      </c>
      <c r="F153" t="s">
        <v>1163</v>
      </c>
      <c r="G153" t="s">
        <v>1164</v>
      </c>
      <c r="H153" t="s">
        <v>1165</v>
      </c>
      <c r="I153" t="s">
        <v>1166</v>
      </c>
      <c r="J153">
        <v>11.49</v>
      </c>
      <c r="K153" t="s">
        <v>77</v>
      </c>
    </row>
    <row r="154" spans="1:11" x14ac:dyDescent="0.35">
      <c r="A154" t="s">
        <v>1167</v>
      </c>
      <c r="B154" t="s">
        <v>1168</v>
      </c>
      <c r="C154" t="s">
        <v>1169</v>
      </c>
      <c r="D154" t="s">
        <v>823</v>
      </c>
      <c r="E154" t="s">
        <v>1170</v>
      </c>
      <c r="F154" t="s">
        <v>1171</v>
      </c>
      <c r="G154" t="s">
        <v>1172</v>
      </c>
      <c r="H154" t="s">
        <v>1173</v>
      </c>
      <c r="I154" t="s">
        <v>1174</v>
      </c>
      <c r="J154">
        <v>11.49</v>
      </c>
      <c r="K154" t="s">
        <v>182</v>
      </c>
    </row>
    <row r="155" spans="1:11" x14ac:dyDescent="0.35">
      <c r="A155" t="s">
        <v>1175</v>
      </c>
      <c r="B155" t="s">
        <v>1176</v>
      </c>
      <c r="C155" t="s">
        <v>1177</v>
      </c>
      <c r="D155" t="s">
        <v>1178</v>
      </c>
      <c r="E155" t="s">
        <v>1179</v>
      </c>
      <c r="F155" t="s">
        <v>1180</v>
      </c>
      <c r="G155" t="s">
        <v>1181</v>
      </c>
      <c r="H155" t="s">
        <v>1182</v>
      </c>
      <c r="I155" t="s">
        <v>1183</v>
      </c>
      <c r="J155">
        <v>3.226666666666667</v>
      </c>
      <c r="K155" t="s">
        <v>182</v>
      </c>
    </row>
    <row r="156" spans="1:11" x14ac:dyDescent="0.35">
      <c r="A156" t="s">
        <v>1184</v>
      </c>
      <c r="B156" t="s">
        <v>1185</v>
      </c>
      <c r="C156" t="s">
        <v>1186</v>
      </c>
      <c r="D156" t="s">
        <v>694</v>
      </c>
      <c r="E156" t="s">
        <v>72</v>
      </c>
      <c r="F156" t="s">
        <v>1187</v>
      </c>
      <c r="G156" t="s">
        <v>1188</v>
      </c>
      <c r="H156" t="s">
        <v>1189</v>
      </c>
      <c r="I156" t="s">
        <v>1190</v>
      </c>
      <c r="J156">
        <v>0.96333333333333326</v>
      </c>
      <c r="K156" t="s">
        <v>182</v>
      </c>
    </row>
    <row r="157" spans="1:11" x14ac:dyDescent="0.35">
      <c r="A157" t="s">
        <v>1191</v>
      </c>
      <c r="B157" t="s">
        <v>1192</v>
      </c>
      <c r="C157" t="s">
        <v>1193</v>
      </c>
      <c r="D157" t="s">
        <v>202</v>
      </c>
      <c r="E157" t="s">
        <v>1194</v>
      </c>
      <c r="F157" t="s">
        <v>1195</v>
      </c>
      <c r="G157" t="s">
        <v>1196</v>
      </c>
      <c r="H157" t="s">
        <v>1197</v>
      </c>
      <c r="I157" t="s">
        <v>1198</v>
      </c>
      <c r="J157">
        <v>1.343333333333333</v>
      </c>
      <c r="K157" t="s">
        <v>96</v>
      </c>
    </row>
    <row r="158" spans="1:11" x14ac:dyDescent="0.35">
      <c r="A158" t="s">
        <v>1199</v>
      </c>
      <c r="B158" t="s">
        <v>1200</v>
      </c>
      <c r="C158" t="s">
        <v>1201</v>
      </c>
      <c r="D158" t="s">
        <v>760</v>
      </c>
      <c r="E158" t="s">
        <v>72</v>
      </c>
      <c r="F158" t="s">
        <v>1202</v>
      </c>
      <c r="G158" t="s">
        <v>1203</v>
      </c>
      <c r="H158" t="s">
        <v>1204</v>
      </c>
      <c r="I158" t="s">
        <v>1205</v>
      </c>
      <c r="J158">
        <v>0.56999999999999995</v>
      </c>
      <c r="K158" t="s">
        <v>77</v>
      </c>
    </row>
    <row r="159" spans="1:11" x14ac:dyDescent="0.35">
      <c r="A159" t="s">
        <v>1206</v>
      </c>
      <c r="B159" t="s">
        <v>1207</v>
      </c>
      <c r="C159" t="s">
        <v>1208</v>
      </c>
      <c r="D159" t="s">
        <v>41</v>
      </c>
      <c r="E159" t="s">
        <v>91</v>
      </c>
      <c r="F159" t="s">
        <v>1209</v>
      </c>
      <c r="G159" t="s">
        <v>1210</v>
      </c>
      <c r="H159" t="s">
        <v>1211</v>
      </c>
      <c r="I159" t="s">
        <v>1212</v>
      </c>
      <c r="J159">
        <v>2.33</v>
      </c>
      <c r="K159" t="s">
        <v>77</v>
      </c>
    </row>
    <row r="160" spans="1:11" x14ac:dyDescent="0.35">
      <c r="A160" t="s">
        <v>1213</v>
      </c>
      <c r="B160" t="s">
        <v>1214</v>
      </c>
      <c r="C160" t="s">
        <v>1215</v>
      </c>
      <c r="D160" t="s">
        <v>520</v>
      </c>
      <c r="E160" t="s">
        <v>1216</v>
      </c>
      <c r="F160" t="s">
        <v>1217</v>
      </c>
      <c r="G160" t="s">
        <v>1218</v>
      </c>
      <c r="H160" t="s">
        <v>1219</v>
      </c>
      <c r="I160" t="s">
        <v>1220</v>
      </c>
      <c r="J160">
        <v>8.14</v>
      </c>
      <c r="K160" t="s">
        <v>182</v>
      </c>
    </row>
    <row r="161" spans="1:11" x14ac:dyDescent="0.35">
      <c r="A161" t="s">
        <v>1221</v>
      </c>
      <c r="B161" t="s">
        <v>1222</v>
      </c>
      <c r="C161" t="s">
        <v>1223</v>
      </c>
      <c r="D161" t="s">
        <v>100</v>
      </c>
      <c r="E161" t="s">
        <v>466</v>
      </c>
      <c r="F161" t="s">
        <v>1224</v>
      </c>
      <c r="G161" t="s">
        <v>1225</v>
      </c>
      <c r="I161" t="s">
        <v>1226</v>
      </c>
      <c r="J161">
        <v>0.97333333333333327</v>
      </c>
      <c r="K161" t="s">
        <v>182</v>
      </c>
    </row>
    <row r="162" spans="1:11" x14ac:dyDescent="0.35">
      <c r="A162" t="s">
        <v>1227</v>
      </c>
      <c r="B162" t="s">
        <v>1228</v>
      </c>
      <c r="C162" t="s">
        <v>1229</v>
      </c>
      <c r="D162" t="s">
        <v>1230</v>
      </c>
      <c r="E162" t="s">
        <v>550</v>
      </c>
      <c r="F162" t="s">
        <v>1231</v>
      </c>
      <c r="G162" t="s">
        <v>1232</v>
      </c>
      <c r="H162" t="s">
        <v>1233</v>
      </c>
      <c r="I162" t="s">
        <v>1234</v>
      </c>
      <c r="J162">
        <v>13.7</v>
      </c>
      <c r="K162" t="s">
        <v>182</v>
      </c>
    </row>
    <row r="163" spans="1:11" x14ac:dyDescent="0.35">
      <c r="A163" t="s">
        <v>1235</v>
      </c>
      <c r="B163" t="s">
        <v>1236</v>
      </c>
      <c r="C163" t="s">
        <v>1237</v>
      </c>
      <c r="D163" t="s">
        <v>1238</v>
      </c>
      <c r="E163" t="s">
        <v>1239</v>
      </c>
      <c r="F163" t="s">
        <v>1240</v>
      </c>
      <c r="G163" t="s">
        <v>1241</v>
      </c>
      <c r="H163" t="s">
        <v>1242</v>
      </c>
      <c r="I163" t="s">
        <v>1243</v>
      </c>
      <c r="J163">
        <v>4.16</v>
      </c>
      <c r="K163" t="s">
        <v>182</v>
      </c>
    </row>
    <row r="164" spans="1:11" x14ac:dyDescent="0.35">
      <c r="A164" t="s">
        <v>1244</v>
      </c>
      <c r="B164" t="s">
        <v>1245</v>
      </c>
      <c r="C164" t="s">
        <v>1246</v>
      </c>
      <c r="D164" t="s">
        <v>56</v>
      </c>
      <c r="E164" t="s">
        <v>124</v>
      </c>
      <c r="F164" t="s">
        <v>1247</v>
      </c>
      <c r="G164" t="s">
        <v>1248</v>
      </c>
      <c r="H164" t="s">
        <v>1249</v>
      </c>
      <c r="I164" t="s">
        <v>1250</v>
      </c>
      <c r="J164">
        <v>9.2566666666666659</v>
      </c>
      <c r="K164" t="s">
        <v>182</v>
      </c>
    </row>
    <row r="165" spans="1:11" x14ac:dyDescent="0.35">
      <c r="A165" t="s">
        <v>1251</v>
      </c>
      <c r="B165" t="s">
        <v>1252</v>
      </c>
      <c r="C165" t="s">
        <v>1253</v>
      </c>
      <c r="D165" t="s">
        <v>81</v>
      </c>
      <c r="E165" t="s">
        <v>1254</v>
      </c>
      <c r="F165" t="s">
        <v>609</v>
      </c>
      <c r="G165" t="s">
        <v>1255</v>
      </c>
      <c r="H165" t="s">
        <v>1256</v>
      </c>
      <c r="I165" t="s">
        <v>1257</v>
      </c>
      <c r="J165">
        <v>0.77</v>
      </c>
      <c r="K165" t="s">
        <v>182</v>
      </c>
    </row>
    <row r="166" spans="1:11" x14ac:dyDescent="0.35">
      <c r="A166" t="s">
        <v>1258</v>
      </c>
      <c r="B166" t="s">
        <v>1259</v>
      </c>
      <c r="C166" t="s">
        <v>1260</v>
      </c>
      <c r="D166" t="s">
        <v>56</v>
      </c>
      <c r="E166" t="s">
        <v>366</v>
      </c>
      <c r="F166" t="s">
        <v>1261</v>
      </c>
      <c r="G166" t="s">
        <v>1262</v>
      </c>
      <c r="H166" t="s">
        <v>1263</v>
      </c>
      <c r="I166" t="s">
        <v>1264</v>
      </c>
      <c r="J166">
        <v>1.68</v>
      </c>
      <c r="K166" t="s">
        <v>182</v>
      </c>
    </row>
    <row r="167" spans="1:11" x14ac:dyDescent="0.35">
      <c r="A167" t="s">
        <v>1265</v>
      </c>
      <c r="B167" t="s">
        <v>1266</v>
      </c>
      <c r="C167" t="s">
        <v>1267</v>
      </c>
      <c r="D167" t="s">
        <v>48</v>
      </c>
      <c r="E167" t="s">
        <v>1268</v>
      </c>
      <c r="F167" t="s">
        <v>1269</v>
      </c>
      <c r="G167" t="s">
        <v>1270</v>
      </c>
      <c r="H167" t="s">
        <v>1249</v>
      </c>
      <c r="I167" t="s">
        <v>1271</v>
      </c>
      <c r="J167">
        <v>15.50333333333333</v>
      </c>
      <c r="K167" t="s">
        <v>182</v>
      </c>
    </row>
    <row r="168" spans="1:11" x14ac:dyDescent="0.35">
      <c r="A168" t="s">
        <v>1272</v>
      </c>
      <c r="B168" t="s">
        <v>1273</v>
      </c>
      <c r="C168" t="s">
        <v>1274</v>
      </c>
      <c r="D168" t="s">
        <v>203</v>
      </c>
      <c r="E168" t="s">
        <v>1275</v>
      </c>
      <c r="F168" t="s">
        <v>1276</v>
      </c>
      <c r="G168" t="s">
        <v>1277</v>
      </c>
      <c r="H168" t="s">
        <v>1278</v>
      </c>
      <c r="I168" t="s">
        <v>421</v>
      </c>
      <c r="J168">
        <v>84.986666666666665</v>
      </c>
      <c r="K168" t="s">
        <v>182</v>
      </c>
    </row>
    <row r="169" spans="1:11" x14ac:dyDescent="0.35">
      <c r="A169" t="s">
        <v>1279</v>
      </c>
      <c r="B169" t="s">
        <v>1280</v>
      </c>
      <c r="C169" t="s">
        <v>1281</v>
      </c>
      <c r="D169" t="s">
        <v>1118</v>
      </c>
      <c r="E169" t="s">
        <v>1282</v>
      </c>
      <c r="F169" t="s">
        <v>1283</v>
      </c>
      <c r="G169" t="s">
        <v>1284</v>
      </c>
      <c r="H169" t="s">
        <v>1285</v>
      </c>
      <c r="I169" t="s">
        <v>1286</v>
      </c>
      <c r="J169">
        <v>1.963333333333334</v>
      </c>
      <c r="K169" t="s">
        <v>77</v>
      </c>
    </row>
    <row r="170" spans="1:11" x14ac:dyDescent="0.35">
      <c r="A170" t="s">
        <v>1287</v>
      </c>
      <c r="B170" t="s">
        <v>1288</v>
      </c>
      <c r="C170" t="s">
        <v>1289</v>
      </c>
      <c r="D170" t="s">
        <v>101</v>
      </c>
      <c r="E170" t="s">
        <v>1290</v>
      </c>
      <c r="F170" t="s">
        <v>1291</v>
      </c>
      <c r="G170" t="s">
        <v>1292</v>
      </c>
      <c r="H170" t="s">
        <v>1293</v>
      </c>
      <c r="I170" t="s">
        <v>1294</v>
      </c>
      <c r="J170">
        <v>7.78</v>
      </c>
      <c r="K170" t="s">
        <v>182</v>
      </c>
    </row>
    <row r="171" spans="1:11" x14ac:dyDescent="0.35">
      <c r="A171" t="s">
        <v>1295</v>
      </c>
      <c r="B171" t="s">
        <v>1296</v>
      </c>
      <c r="C171" t="s">
        <v>1297</v>
      </c>
      <c r="D171" t="s">
        <v>466</v>
      </c>
      <c r="E171" t="s">
        <v>125</v>
      </c>
      <c r="F171" t="s">
        <v>168</v>
      </c>
      <c r="G171" t="s">
        <v>1298</v>
      </c>
      <c r="H171" t="s">
        <v>1299</v>
      </c>
      <c r="I171" t="s">
        <v>1300</v>
      </c>
      <c r="J171">
        <v>1.2866666666666671</v>
      </c>
      <c r="K171" t="s">
        <v>182</v>
      </c>
    </row>
    <row r="172" spans="1:11" x14ac:dyDescent="0.35">
      <c r="A172" t="s">
        <v>1301</v>
      </c>
      <c r="B172" t="s">
        <v>1302</v>
      </c>
      <c r="C172" t="s">
        <v>1303</v>
      </c>
      <c r="D172" t="s">
        <v>1133</v>
      </c>
      <c r="E172" t="s">
        <v>204</v>
      </c>
      <c r="F172" t="s">
        <v>1022</v>
      </c>
      <c r="G172" t="s">
        <v>1304</v>
      </c>
      <c r="H172" t="s">
        <v>1305</v>
      </c>
      <c r="I172" t="s">
        <v>1306</v>
      </c>
      <c r="J172">
        <v>1.033333333333333</v>
      </c>
      <c r="K172" t="s">
        <v>182</v>
      </c>
    </row>
    <row r="173" spans="1:11" x14ac:dyDescent="0.35">
      <c r="A173" t="s">
        <v>1307</v>
      </c>
      <c r="B173" t="s">
        <v>1307</v>
      </c>
      <c r="C173" t="s">
        <v>1308</v>
      </c>
      <c r="D173" t="s">
        <v>998</v>
      </c>
      <c r="E173" t="s">
        <v>383</v>
      </c>
      <c r="F173" t="s">
        <v>1309</v>
      </c>
      <c r="G173" t="s">
        <v>1310</v>
      </c>
      <c r="H173" t="s">
        <v>1311</v>
      </c>
      <c r="I173" t="s">
        <v>1312</v>
      </c>
      <c r="J173">
        <v>5.3266666666666671</v>
      </c>
      <c r="K173" t="s">
        <v>77</v>
      </c>
    </row>
    <row r="174" spans="1:11" x14ac:dyDescent="0.35">
      <c r="A174" t="s">
        <v>1313</v>
      </c>
      <c r="B174" t="s">
        <v>1314</v>
      </c>
      <c r="C174" t="s">
        <v>1315</v>
      </c>
      <c r="D174" t="s">
        <v>33</v>
      </c>
      <c r="E174" t="s">
        <v>160</v>
      </c>
      <c r="F174" t="s">
        <v>466</v>
      </c>
      <c r="G174" t="s">
        <v>1316</v>
      </c>
      <c r="I174" t="s">
        <v>1317</v>
      </c>
      <c r="J174">
        <v>0.25333333333333341</v>
      </c>
      <c r="K174" t="s">
        <v>77</v>
      </c>
    </row>
    <row r="175" spans="1:11" x14ac:dyDescent="0.35">
      <c r="A175" t="s">
        <v>1318</v>
      </c>
      <c r="B175" t="s">
        <v>1319</v>
      </c>
      <c r="C175" t="s">
        <v>1320</v>
      </c>
      <c r="D175" t="s">
        <v>110</v>
      </c>
      <c r="E175" t="s">
        <v>1321</v>
      </c>
      <c r="F175" t="s">
        <v>1322</v>
      </c>
      <c r="G175" t="s">
        <v>1323</v>
      </c>
      <c r="H175" t="s">
        <v>1324</v>
      </c>
      <c r="I175" t="s">
        <v>1325</v>
      </c>
      <c r="J175">
        <v>1.753333333333333</v>
      </c>
      <c r="K175" t="s">
        <v>77</v>
      </c>
    </row>
    <row r="176" spans="1:11" x14ac:dyDescent="0.35">
      <c r="A176" t="s">
        <v>1326</v>
      </c>
      <c r="B176" t="s">
        <v>1327</v>
      </c>
      <c r="C176" t="s">
        <v>1328</v>
      </c>
      <c r="D176" t="s">
        <v>1329</v>
      </c>
      <c r="E176" t="s">
        <v>1330</v>
      </c>
      <c r="F176" t="s">
        <v>1331</v>
      </c>
      <c r="G176" t="s">
        <v>1332</v>
      </c>
      <c r="H176" t="s">
        <v>1333</v>
      </c>
      <c r="I176" t="s">
        <v>1334</v>
      </c>
      <c r="J176">
        <v>13.41666666666667</v>
      </c>
      <c r="K176" t="s">
        <v>182</v>
      </c>
    </row>
    <row r="177" spans="1:11" x14ac:dyDescent="0.35">
      <c r="A177" t="s">
        <v>1335</v>
      </c>
      <c r="B177" t="s">
        <v>1336</v>
      </c>
      <c r="C177" t="s">
        <v>1337</v>
      </c>
      <c r="D177" t="s">
        <v>100</v>
      </c>
      <c r="E177" t="s">
        <v>48</v>
      </c>
      <c r="F177" t="s">
        <v>328</v>
      </c>
      <c r="G177" t="s">
        <v>1338</v>
      </c>
      <c r="H177" t="s">
        <v>1339</v>
      </c>
      <c r="I177" t="s">
        <v>1340</v>
      </c>
      <c r="J177">
        <v>1.486666666666667</v>
      </c>
      <c r="K177" t="s">
        <v>38</v>
      </c>
    </row>
    <row r="178" spans="1:11" x14ac:dyDescent="0.35">
      <c r="A178" t="s">
        <v>1341</v>
      </c>
      <c r="B178" t="s">
        <v>1342</v>
      </c>
      <c r="C178" t="s">
        <v>1343</v>
      </c>
      <c r="D178" t="s">
        <v>392</v>
      </c>
      <c r="E178" t="s">
        <v>204</v>
      </c>
      <c r="F178" t="s">
        <v>1344</v>
      </c>
      <c r="G178" t="s">
        <v>1345</v>
      </c>
      <c r="H178" t="s">
        <v>1346</v>
      </c>
      <c r="I178" t="s">
        <v>1347</v>
      </c>
      <c r="J178">
        <v>2.6566666666666672</v>
      </c>
      <c r="K178" t="s">
        <v>182</v>
      </c>
    </row>
    <row r="179" spans="1:11" x14ac:dyDescent="0.35">
      <c r="A179" t="s">
        <v>1348</v>
      </c>
      <c r="B179" t="s">
        <v>1349</v>
      </c>
      <c r="C179" t="s">
        <v>1350</v>
      </c>
      <c r="D179" t="s">
        <v>904</v>
      </c>
      <c r="E179" t="s">
        <v>1351</v>
      </c>
      <c r="F179" t="s">
        <v>1352</v>
      </c>
      <c r="G179" t="s">
        <v>1353</v>
      </c>
      <c r="H179" t="s">
        <v>1354</v>
      </c>
      <c r="I179" t="s">
        <v>1355</v>
      </c>
      <c r="J179">
        <v>15.13</v>
      </c>
      <c r="K179" t="s">
        <v>38</v>
      </c>
    </row>
    <row r="180" spans="1:11" x14ac:dyDescent="0.35">
      <c r="A180" t="s">
        <v>1356</v>
      </c>
      <c r="B180" t="s">
        <v>1357</v>
      </c>
      <c r="C180" t="s">
        <v>1358</v>
      </c>
      <c r="D180" t="s">
        <v>90</v>
      </c>
      <c r="E180" t="s">
        <v>694</v>
      </c>
      <c r="F180" t="s">
        <v>427</v>
      </c>
      <c r="G180" t="s">
        <v>1359</v>
      </c>
      <c r="I180" t="s">
        <v>1360</v>
      </c>
      <c r="J180">
        <v>0.67333333333333334</v>
      </c>
      <c r="K180" t="s">
        <v>182</v>
      </c>
    </row>
    <row r="181" spans="1:11" x14ac:dyDescent="0.35">
      <c r="A181" t="s">
        <v>1361</v>
      </c>
      <c r="B181" t="s">
        <v>1362</v>
      </c>
      <c r="C181" t="s">
        <v>1363</v>
      </c>
      <c r="D181" t="s">
        <v>1364</v>
      </c>
      <c r="E181" t="s">
        <v>1365</v>
      </c>
      <c r="F181" t="s">
        <v>1366</v>
      </c>
      <c r="G181" t="s">
        <v>1367</v>
      </c>
      <c r="H181" t="s">
        <v>1368</v>
      </c>
      <c r="I181" t="s">
        <v>1369</v>
      </c>
      <c r="J181">
        <v>15</v>
      </c>
      <c r="K181" t="s">
        <v>182</v>
      </c>
    </row>
    <row r="182" spans="1:11" x14ac:dyDescent="0.35">
      <c r="A182" t="s">
        <v>1370</v>
      </c>
      <c r="B182" t="s">
        <v>1371</v>
      </c>
      <c r="C182" t="s">
        <v>1372</v>
      </c>
      <c r="D182" t="s">
        <v>1373</v>
      </c>
      <c r="E182" t="s">
        <v>1374</v>
      </c>
      <c r="F182" t="s">
        <v>1375</v>
      </c>
      <c r="G182" t="s">
        <v>1376</v>
      </c>
      <c r="H182" t="s">
        <v>1377</v>
      </c>
      <c r="I182" t="s">
        <v>1378</v>
      </c>
      <c r="J182">
        <v>13.04</v>
      </c>
      <c r="K182" t="s">
        <v>182</v>
      </c>
    </row>
    <row r="183" spans="1:11" x14ac:dyDescent="0.35">
      <c r="A183" t="s">
        <v>1379</v>
      </c>
      <c r="B183" t="s">
        <v>1380</v>
      </c>
      <c r="C183" t="s">
        <v>1381</v>
      </c>
      <c r="D183" t="s">
        <v>41</v>
      </c>
      <c r="E183" t="s">
        <v>790</v>
      </c>
      <c r="F183" t="s">
        <v>732</v>
      </c>
      <c r="G183" t="s">
        <v>1382</v>
      </c>
      <c r="H183" t="s">
        <v>1383</v>
      </c>
      <c r="I183" t="s">
        <v>1384</v>
      </c>
      <c r="J183">
        <v>1.2666666666666671</v>
      </c>
      <c r="K183" t="s">
        <v>182</v>
      </c>
    </row>
    <row r="184" spans="1:11" x14ac:dyDescent="0.35">
      <c r="A184" t="s">
        <v>1385</v>
      </c>
      <c r="B184" t="s">
        <v>1138</v>
      </c>
      <c r="C184" t="s">
        <v>1386</v>
      </c>
      <c r="D184" t="s">
        <v>609</v>
      </c>
      <c r="E184" t="s">
        <v>760</v>
      </c>
      <c r="F184" t="s">
        <v>1387</v>
      </c>
      <c r="G184" t="s">
        <v>1388</v>
      </c>
      <c r="H184" t="s">
        <v>1389</v>
      </c>
      <c r="I184" t="s">
        <v>1390</v>
      </c>
      <c r="J184">
        <v>1.24</v>
      </c>
      <c r="K184" t="s">
        <v>38</v>
      </c>
    </row>
    <row r="185" spans="1:11" x14ac:dyDescent="0.35">
      <c r="A185" t="s">
        <v>1391</v>
      </c>
      <c r="B185" t="s">
        <v>1392</v>
      </c>
      <c r="C185" t="s">
        <v>1393</v>
      </c>
      <c r="D185" t="s">
        <v>48</v>
      </c>
      <c r="E185" t="s">
        <v>710</v>
      </c>
      <c r="F185" t="s">
        <v>1394</v>
      </c>
      <c r="G185" t="s">
        <v>1395</v>
      </c>
      <c r="H185" t="s">
        <v>1396</v>
      </c>
      <c r="I185" t="s">
        <v>1397</v>
      </c>
      <c r="J185">
        <v>3.9733333333333332</v>
      </c>
      <c r="K185" t="s">
        <v>182</v>
      </c>
    </row>
    <row r="186" spans="1:11" x14ac:dyDescent="0.35">
      <c r="A186" t="s">
        <v>1398</v>
      </c>
      <c r="B186" t="s">
        <v>1398</v>
      </c>
      <c r="C186" t="s">
        <v>1399</v>
      </c>
      <c r="D186" t="s">
        <v>232</v>
      </c>
      <c r="E186" t="s">
        <v>100</v>
      </c>
      <c r="F186" t="s">
        <v>958</v>
      </c>
      <c r="G186" t="s">
        <v>1400</v>
      </c>
      <c r="H186" t="s">
        <v>1401</v>
      </c>
      <c r="I186" t="s">
        <v>1402</v>
      </c>
      <c r="J186">
        <v>0.71</v>
      </c>
      <c r="K186" t="s">
        <v>182</v>
      </c>
    </row>
    <row r="187" spans="1:11" x14ac:dyDescent="0.35">
      <c r="A187" t="s">
        <v>1403</v>
      </c>
      <c r="B187" t="s">
        <v>1404</v>
      </c>
      <c r="C187" t="s">
        <v>1405</v>
      </c>
      <c r="D187" t="s">
        <v>1329</v>
      </c>
      <c r="E187" t="s">
        <v>101</v>
      </c>
      <c r="F187" t="s">
        <v>1406</v>
      </c>
      <c r="G187" t="s">
        <v>1407</v>
      </c>
      <c r="H187" t="s">
        <v>1408</v>
      </c>
      <c r="I187" t="s">
        <v>597</v>
      </c>
      <c r="J187">
        <v>1.0666666666666671</v>
      </c>
      <c r="K187" t="s">
        <v>182</v>
      </c>
    </row>
    <row r="188" spans="1:11" x14ac:dyDescent="0.35">
      <c r="A188" t="s">
        <v>1409</v>
      </c>
      <c r="B188" t="s">
        <v>1410</v>
      </c>
      <c r="C188" t="s">
        <v>1411</v>
      </c>
      <c r="D188" t="s">
        <v>285</v>
      </c>
      <c r="E188" t="s">
        <v>72</v>
      </c>
      <c r="F188" t="s">
        <v>558</v>
      </c>
      <c r="G188" t="s">
        <v>1412</v>
      </c>
      <c r="H188" t="s">
        <v>1413</v>
      </c>
      <c r="I188" t="s">
        <v>1414</v>
      </c>
      <c r="J188">
        <v>1.21</v>
      </c>
      <c r="K188" t="s">
        <v>182</v>
      </c>
    </row>
    <row r="189" spans="1:11" x14ac:dyDescent="0.35">
      <c r="A189" t="s">
        <v>1415</v>
      </c>
      <c r="B189" t="s">
        <v>1416</v>
      </c>
      <c r="C189" t="s">
        <v>1417</v>
      </c>
      <c r="D189" t="s">
        <v>392</v>
      </c>
      <c r="E189" t="s">
        <v>1418</v>
      </c>
      <c r="F189" t="s">
        <v>1419</v>
      </c>
      <c r="G189" t="s">
        <v>1420</v>
      </c>
      <c r="H189" t="s">
        <v>1421</v>
      </c>
      <c r="I189" t="s">
        <v>1422</v>
      </c>
      <c r="J189">
        <v>7.0733333333333333</v>
      </c>
      <c r="K189" t="s">
        <v>96</v>
      </c>
    </row>
    <row r="190" spans="1:11" x14ac:dyDescent="0.35">
      <c r="A190" t="s">
        <v>1423</v>
      </c>
      <c r="B190" t="s">
        <v>1424</v>
      </c>
      <c r="C190" t="s">
        <v>1425</v>
      </c>
      <c r="D190" t="s">
        <v>33</v>
      </c>
      <c r="E190" t="s">
        <v>1426</v>
      </c>
      <c r="F190" t="s">
        <v>1427</v>
      </c>
      <c r="G190" t="s">
        <v>1428</v>
      </c>
      <c r="H190" t="s">
        <v>1429</v>
      </c>
      <c r="I190" t="s">
        <v>1430</v>
      </c>
      <c r="J190">
        <v>3.1066666666666669</v>
      </c>
      <c r="K190" t="s">
        <v>182</v>
      </c>
    </row>
    <row r="191" spans="1:11" x14ac:dyDescent="0.35">
      <c r="A191" t="s">
        <v>1431</v>
      </c>
      <c r="B191" t="s">
        <v>1432</v>
      </c>
      <c r="C191" t="s">
        <v>1433</v>
      </c>
      <c r="D191" t="s">
        <v>15</v>
      </c>
      <c r="E191" t="s">
        <v>1434</v>
      </c>
      <c r="F191" t="s">
        <v>1435</v>
      </c>
      <c r="G191" t="s">
        <v>1436</v>
      </c>
      <c r="H191" t="s">
        <v>1437</v>
      </c>
      <c r="I191" t="s">
        <v>1438</v>
      </c>
      <c r="J191">
        <v>18.41333333333333</v>
      </c>
      <c r="K191" t="s">
        <v>182</v>
      </c>
    </row>
    <row r="192" spans="1:11" x14ac:dyDescent="0.35">
      <c r="A192" t="s">
        <v>1439</v>
      </c>
      <c r="B192" t="s">
        <v>1439</v>
      </c>
      <c r="C192" t="s">
        <v>1440</v>
      </c>
      <c r="D192" t="s">
        <v>686</v>
      </c>
      <c r="E192" t="s">
        <v>90</v>
      </c>
      <c r="F192" t="s">
        <v>1441</v>
      </c>
      <c r="G192" t="s">
        <v>1442</v>
      </c>
      <c r="H192" t="s">
        <v>1443</v>
      </c>
      <c r="I192" t="s">
        <v>1444</v>
      </c>
      <c r="J192">
        <v>0.48333333333333328</v>
      </c>
      <c r="K192" t="s">
        <v>182</v>
      </c>
    </row>
    <row r="193" spans="1:11" x14ac:dyDescent="0.35">
      <c r="A193" t="s">
        <v>1445</v>
      </c>
      <c r="B193" t="s">
        <v>1446</v>
      </c>
      <c r="C193" t="s">
        <v>1447</v>
      </c>
      <c r="D193" t="s">
        <v>49</v>
      </c>
      <c r="E193" t="s">
        <v>1448</v>
      </c>
      <c r="F193" t="s">
        <v>50</v>
      </c>
      <c r="G193" t="s">
        <v>1449</v>
      </c>
      <c r="H193" t="s">
        <v>1450</v>
      </c>
      <c r="I193" t="s">
        <v>1451</v>
      </c>
      <c r="J193">
        <v>1.573333333333333</v>
      </c>
      <c r="K193" t="s">
        <v>182</v>
      </c>
    </row>
    <row r="194" spans="1:11" x14ac:dyDescent="0.35">
      <c r="A194" t="s">
        <v>1452</v>
      </c>
      <c r="B194" t="s">
        <v>1453</v>
      </c>
      <c r="C194" t="s">
        <v>1454</v>
      </c>
      <c r="D194" t="s">
        <v>1455</v>
      </c>
      <c r="E194" t="s">
        <v>392</v>
      </c>
      <c r="F194" t="s">
        <v>1456</v>
      </c>
      <c r="G194" t="s">
        <v>1457</v>
      </c>
      <c r="I194" t="s">
        <v>430</v>
      </c>
      <c r="J194">
        <v>1.843333333333333</v>
      </c>
      <c r="K194" t="s">
        <v>182</v>
      </c>
    </row>
    <row r="195" spans="1:11" x14ac:dyDescent="0.35">
      <c r="A195" t="s">
        <v>1458</v>
      </c>
      <c r="B195" t="s">
        <v>1459</v>
      </c>
      <c r="C195" t="s">
        <v>1460</v>
      </c>
      <c r="D195" t="s">
        <v>694</v>
      </c>
      <c r="E195" t="s">
        <v>1461</v>
      </c>
      <c r="F195" t="s">
        <v>1462</v>
      </c>
      <c r="G195" t="s">
        <v>1463</v>
      </c>
      <c r="H195" t="s">
        <v>1464</v>
      </c>
      <c r="I195" t="s">
        <v>1465</v>
      </c>
      <c r="J195">
        <v>6.413333333333334</v>
      </c>
      <c r="K195" t="s">
        <v>182</v>
      </c>
    </row>
    <row r="196" spans="1:11" x14ac:dyDescent="0.35">
      <c r="A196" t="s">
        <v>1466</v>
      </c>
      <c r="B196" t="s">
        <v>1467</v>
      </c>
      <c r="C196" t="s">
        <v>1468</v>
      </c>
      <c r="D196" t="s">
        <v>41</v>
      </c>
      <c r="E196" t="s">
        <v>669</v>
      </c>
      <c r="F196" t="s">
        <v>141</v>
      </c>
      <c r="G196" t="s">
        <v>1469</v>
      </c>
      <c r="H196" t="s">
        <v>1470</v>
      </c>
      <c r="I196" t="s">
        <v>1471</v>
      </c>
      <c r="J196">
        <v>0.22</v>
      </c>
      <c r="K196" t="s">
        <v>38</v>
      </c>
    </row>
    <row r="197" spans="1:11" x14ac:dyDescent="0.35">
      <c r="A197" t="s">
        <v>1472</v>
      </c>
      <c r="B197" t="s">
        <v>1473</v>
      </c>
      <c r="C197" t="s">
        <v>1474</v>
      </c>
      <c r="D197" t="s">
        <v>269</v>
      </c>
      <c r="E197" t="s">
        <v>1441</v>
      </c>
      <c r="F197" t="s">
        <v>1475</v>
      </c>
      <c r="G197" t="s">
        <v>1476</v>
      </c>
      <c r="H197" t="s">
        <v>1477</v>
      </c>
      <c r="I197" t="s">
        <v>1478</v>
      </c>
      <c r="J197">
        <v>1.7666666666666671</v>
      </c>
      <c r="K197" t="s">
        <v>182</v>
      </c>
    </row>
    <row r="198" spans="1:11" x14ac:dyDescent="0.35">
      <c r="A198" t="s">
        <v>1479</v>
      </c>
      <c r="B198" t="s">
        <v>1480</v>
      </c>
      <c r="C198" t="s">
        <v>1481</v>
      </c>
      <c r="D198" t="s">
        <v>168</v>
      </c>
      <c r="E198" t="s">
        <v>910</v>
      </c>
      <c r="F198" t="s">
        <v>1482</v>
      </c>
      <c r="G198" t="s">
        <v>1483</v>
      </c>
      <c r="H198" t="s">
        <v>1484</v>
      </c>
      <c r="I198" t="s">
        <v>1485</v>
      </c>
      <c r="J198">
        <v>10.196666666666671</v>
      </c>
      <c r="K198" t="s">
        <v>77</v>
      </c>
    </row>
    <row r="199" spans="1:11" x14ac:dyDescent="0.35">
      <c r="A199" t="s">
        <v>1486</v>
      </c>
      <c r="B199" t="s">
        <v>1487</v>
      </c>
      <c r="C199" t="s">
        <v>1488</v>
      </c>
      <c r="D199" t="s">
        <v>101</v>
      </c>
      <c r="E199" t="s">
        <v>159</v>
      </c>
      <c r="F199" t="s">
        <v>1489</v>
      </c>
      <c r="G199" t="s">
        <v>1490</v>
      </c>
      <c r="H199" t="s">
        <v>1491</v>
      </c>
      <c r="I199" t="s">
        <v>1492</v>
      </c>
      <c r="J199">
        <v>13.616666666666671</v>
      </c>
      <c r="K199" t="s">
        <v>182</v>
      </c>
    </row>
    <row r="200" spans="1:11" x14ac:dyDescent="0.35">
      <c r="A200" t="s">
        <v>1493</v>
      </c>
      <c r="B200" t="s">
        <v>1494</v>
      </c>
      <c r="C200" t="s">
        <v>1495</v>
      </c>
      <c r="D200" t="s">
        <v>33</v>
      </c>
      <c r="E200" t="s">
        <v>33</v>
      </c>
      <c r="F200" t="s">
        <v>33</v>
      </c>
      <c r="G200" t="s">
        <v>1496</v>
      </c>
      <c r="I200" t="s">
        <v>1497</v>
      </c>
      <c r="J200">
        <v>0</v>
      </c>
      <c r="K200" t="s">
        <v>182</v>
      </c>
    </row>
    <row r="201" spans="1:11" x14ac:dyDescent="0.35">
      <c r="A201" t="s">
        <v>1498</v>
      </c>
      <c r="B201" t="s">
        <v>1499</v>
      </c>
      <c r="C201" t="s">
        <v>1500</v>
      </c>
      <c r="D201" t="s">
        <v>202</v>
      </c>
      <c r="E201" t="s">
        <v>293</v>
      </c>
      <c r="F201" t="s">
        <v>458</v>
      </c>
      <c r="G201" t="s">
        <v>1501</v>
      </c>
      <c r="H201" t="s">
        <v>1502</v>
      </c>
      <c r="I201" t="s">
        <v>1503</v>
      </c>
      <c r="J201">
        <v>2.046666666666666</v>
      </c>
      <c r="K201" t="s">
        <v>182</v>
      </c>
    </row>
    <row r="202" spans="1:11" x14ac:dyDescent="0.35">
      <c r="A202" t="s">
        <v>1504</v>
      </c>
      <c r="B202" t="s">
        <v>1505</v>
      </c>
      <c r="C202" t="s">
        <v>1506</v>
      </c>
      <c r="D202" t="s">
        <v>33</v>
      </c>
      <c r="E202" t="s">
        <v>1507</v>
      </c>
      <c r="F202" t="s">
        <v>1508</v>
      </c>
      <c r="G202" t="s">
        <v>1509</v>
      </c>
      <c r="H202" t="s">
        <v>1510</v>
      </c>
      <c r="I202" t="s">
        <v>1511</v>
      </c>
      <c r="J202">
        <v>2.2799999999999998</v>
      </c>
      <c r="K202" t="s">
        <v>182</v>
      </c>
    </row>
    <row r="203" spans="1:11" x14ac:dyDescent="0.35">
      <c r="A203" t="s">
        <v>1512</v>
      </c>
      <c r="B203" t="s">
        <v>1513</v>
      </c>
      <c r="C203" t="s">
        <v>1514</v>
      </c>
      <c r="D203" t="s">
        <v>655</v>
      </c>
      <c r="E203" t="s">
        <v>1239</v>
      </c>
      <c r="F203" t="s">
        <v>1515</v>
      </c>
      <c r="G203" t="s">
        <v>1516</v>
      </c>
      <c r="H203" t="s">
        <v>1517</v>
      </c>
      <c r="I203" t="s">
        <v>1518</v>
      </c>
      <c r="J203">
        <v>6.72</v>
      </c>
      <c r="K203" t="s">
        <v>182</v>
      </c>
    </row>
    <row r="204" spans="1:11" x14ac:dyDescent="0.35">
      <c r="A204" t="s">
        <v>1519</v>
      </c>
      <c r="B204" t="s">
        <v>1519</v>
      </c>
      <c r="C204" t="s">
        <v>1520</v>
      </c>
      <c r="D204" t="s">
        <v>240</v>
      </c>
      <c r="E204" t="s">
        <v>322</v>
      </c>
      <c r="F204" t="s">
        <v>16</v>
      </c>
      <c r="G204" t="s">
        <v>1521</v>
      </c>
      <c r="H204" t="s">
        <v>1522</v>
      </c>
      <c r="I204" t="s">
        <v>421</v>
      </c>
      <c r="J204">
        <v>2.52</v>
      </c>
      <c r="K204" t="s">
        <v>182</v>
      </c>
    </row>
    <row r="205" spans="1:11" x14ac:dyDescent="0.35">
      <c r="A205" t="s">
        <v>1523</v>
      </c>
      <c r="B205" t="s">
        <v>1524</v>
      </c>
      <c r="C205" t="s">
        <v>1525</v>
      </c>
      <c r="D205" t="s">
        <v>90</v>
      </c>
      <c r="E205" t="s">
        <v>854</v>
      </c>
      <c r="F205" t="s">
        <v>1526</v>
      </c>
      <c r="G205" t="s">
        <v>1527</v>
      </c>
      <c r="H205" t="s">
        <v>1528</v>
      </c>
      <c r="I205" t="s">
        <v>1529</v>
      </c>
      <c r="J205">
        <v>5.123333333333334</v>
      </c>
      <c r="K205" t="s">
        <v>182</v>
      </c>
    </row>
    <row r="206" spans="1:11" x14ac:dyDescent="0.35">
      <c r="A206" t="s">
        <v>1530</v>
      </c>
      <c r="B206" t="s">
        <v>1531</v>
      </c>
      <c r="C206" t="s">
        <v>1532</v>
      </c>
      <c r="D206" t="s">
        <v>1533</v>
      </c>
      <c r="E206" t="s">
        <v>1534</v>
      </c>
      <c r="F206" t="s">
        <v>1535</v>
      </c>
      <c r="G206" t="s">
        <v>1536</v>
      </c>
      <c r="H206" t="s">
        <v>1537</v>
      </c>
      <c r="I206" t="s">
        <v>1538</v>
      </c>
      <c r="J206">
        <v>12.95</v>
      </c>
      <c r="K206" t="s">
        <v>182</v>
      </c>
    </row>
    <row r="207" spans="1:11" x14ac:dyDescent="0.35">
      <c r="A207" t="s">
        <v>1539</v>
      </c>
      <c r="B207" t="s">
        <v>1540</v>
      </c>
      <c r="C207" t="s">
        <v>1541</v>
      </c>
      <c r="D207" t="s">
        <v>91</v>
      </c>
      <c r="E207" t="s">
        <v>425</v>
      </c>
      <c r="F207" t="s">
        <v>1195</v>
      </c>
      <c r="G207" t="s">
        <v>1542</v>
      </c>
      <c r="H207" t="s">
        <v>1543</v>
      </c>
      <c r="I207" t="s">
        <v>1544</v>
      </c>
      <c r="J207">
        <v>1.33</v>
      </c>
      <c r="K207" t="s">
        <v>182</v>
      </c>
    </row>
    <row r="208" spans="1:11" x14ac:dyDescent="0.35">
      <c r="A208" t="s">
        <v>1545</v>
      </c>
      <c r="B208" t="s">
        <v>1546</v>
      </c>
      <c r="C208" t="s">
        <v>1547</v>
      </c>
      <c r="D208" t="s">
        <v>90</v>
      </c>
      <c r="E208" t="s">
        <v>269</v>
      </c>
      <c r="F208" t="s">
        <v>100</v>
      </c>
      <c r="G208" t="s">
        <v>1548</v>
      </c>
      <c r="H208" t="s">
        <v>1549</v>
      </c>
      <c r="I208" t="s">
        <v>1550</v>
      </c>
      <c r="J208">
        <v>0.1066666666666667</v>
      </c>
      <c r="K208" t="s">
        <v>182</v>
      </c>
    </row>
    <row r="209" spans="1:11" x14ac:dyDescent="0.35">
      <c r="A209" t="s">
        <v>1551</v>
      </c>
      <c r="B209" t="s">
        <v>1552</v>
      </c>
      <c r="C209" t="s">
        <v>1004</v>
      </c>
      <c r="D209" t="s">
        <v>63</v>
      </c>
      <c r="E209" t="s">
        <v>1373</v>
      </c>
      <c r="F209" t="s">
        <v>1553</v>
      </c>
      <c r="G209" t="s">
        <v>1554</v>
      </c>
      <c r="H209" t="s">
        <v>1555</v>
      </c>
      <c r="I209" t="s">
        <v>1556</v>
      </c>
      <c r="J209">
        <v>11.3</v>
      </c>
      <c r="K209" t="s">
        <v>182</v>
      </c>
    </row>
    <row r="210" spans="1:11" x14ac:dyDescent="0.35">
      <c r="A210" t="s">
        <v>1557</v>
      </c>
      <c r="B210" t="s">
        <v>1558</v>
      </c>
      <c r="C210" t="s">
        <v>1559</v>
      </c>
      <c r="D210" t="s">
        <v>321</v>
      </c>
      <c r="E210" t="s">
        <v>1560</v>
      </c>
      <c r="F210" t="s">
        <v>1561</v>
      </c>
      <c r="G210" t="s">
        <v>1562</v>
      </c>
      <c r="H210" t="s">
        <v>1563</v>
      </c>
      <c r="I210" t="s">
        <v>1564</v>
      </c>
      <c r="J210">
        <v>4.6433333333333344</v>
      </c>
      <c r="K210" t="s">
        <v>77</v>
      </c>
    </row>
    <row r="211" spans="1:11" x14ac:dyDescent="0.35">
      <c r="A211" t="s">
        <v>1565</v>
      </c>
      <c r="B211" t="s">
        <v>1566</v>
      </c>
      <c r="C211" t="s">
        <v>1567</v>
      </c>
      <c r="D211" t="s">
        <v>760</v>
      </c>
      <c r="E211" t="s">
        <v>1568</v>
      </c>
      <c r="F211" t="s">
        <v>1569</v>
      </c>
      <c r="G211" t="s">
        <v>1570</v>
      </c>
      <c r="H211" t="s">
        <v>1571</v>
      </c>
      <c r="I211" t="s">
        <v>1572</v>
      </c>
      <c r="J211">
        <v>6.4366666666666674</v>
      </c>
      <c r="K211" t="s">
        <v>77</v>
      </c>
    </row>
    <row r="212" spans="1:11" x14ac:dyDescent="0.35">
      <c r="A212" t="s">
        <v>1573</v>
      </c>
      <c r="B212" t="s">
        <v>1574</v>
      </c>
      <c r="C212" t="s">
        <v>1575</v>
      </c>
      <c r="D212" t="s">
        <v>24</v>
      </c>
      <c r="E212" t="s">
        <v>91</v>
      </c>
      <c r="F212" t="s">
        <v>1576</v>
      </c>
      <c r="G212" t="s">
        <v>1577</v>
      </c>
      <c r="H212" t="s">
        <v>1578</v>
      </c>
      <c r="I212" t="s">
        <v>1579</v>
      </c>
      <c r="J212">
        <v>0.76333333333333331</v>
      </c>
      <c r="K212" t="s">
        <v>182</v>
      </c>
    </row>
    <row r="213" spans="1:11" x14ac:dyDescent="0.35">
      <c r="A213" t="s">
        <v>1580</v>
      </c>
      <c r="B213" t="s">
        <v>1581</v>
      </c>
      <c r="C213" t="s">
        <v>1582</v>
      </c>
      <c r="D213" t="s">
        <v>1583</v>
      </c>
      <c r="E213" t="s">
        <v>1031</v>
      </c>
      <c r="F213" t="s">
        <v>1584</v>
      </c>
      <c r="G213" t="s">
        <v>1585</v>
      </c>
      <c r="H213" t="s">
        <v>1586</v>
      </c>
      <c r="I213" t="s">
        <v>1587</v>
      </c>
      <c r="J213">
        <v>5.8033333333333337</v>
      </c>
      <c r="K213" t="s">
        <v>77</v>
      </c>
    </row>
    <row r="214" spans="1:11" x14ac:dyDescent="0.35">
      <c r="A214" t="s">
        <v>1588</v>
      </c>
      <c r="B214" t="s">
        <v>1588</v>
      </c>
      <c r="C214" t="s">
        <v>1589</v>
      </c>
      <c r="D214" t="s">
        <v>90</v>
      </c>
      <c r="E214" t="s">
        <v>376</v>
      </c>
      <c r="F214" t="s">
        <v>1590</v>
      </c>
      <c r="G214" t="s">
        <v>1591</v>
      </c>
      <c r="H214" t="s">
        <v>1592</v>
      </c>
      <c r="I214" t="s">
        <v>1593</v>
      </c>
      <c r="J214">
        <v>5.4666666666666659</v>
      </c>
      <c r="K214" t="s">
        <v>182</v>
      </c>
    </row>
    <row r="215" spans="1:11" x14ac:dyDescent="0.35">
      <c r="A215" t="s">
        <v>1594</v>
      </c>
      <c r="B215" t="s">
        <v>1595</v>
      </c>
      <c r="C215" t="s">
        <v>1596</v>
      </c>
      <c r="D215" t="s">
        <v>293</v>
      </c>
      <c r="E215" t="s">
        <v>226</v>
      </c>
      <c r="F215" t="s">
        <v>711</v>
      </c>
      <c r="G215" t="s">
        <v>1597</v>
      </c>
      <c r="H215" t="s">
        <v>1598</v>
      </c>
      <c r="I215" t="s">
        <v>1599</v>
      </c>
      <c r="J215">
        <v>0.94333333333333336</v>
      </c>
      <c r="K215" t="s">
        <v>77</v>
      </c>
    </row>
    <row r="216" spans="1:11" x14ac:dyDescent="0.35">
      <c r="A216" t="s">
        <v>1600</v>
      </c>
      <c r="B216" t="s">
        <v>1601</v>
      </c>
      <c r="C216" t="s">
        <v>1602</v>
      </c>
      <c r="D216" t="s">
        <v>1118</v>
      </c>
      <c r="E216" t="s">
        <v>1603</v>
      </c>
      <c r="F216" t="s">
        <v>1604</v>
      </c>
      <c r="G216" t="s">
        <v>1605</v>
      </c>
      <c r="H216" t="s">
        <v>1606</v>
      </c>
      <c r="I216" t="s">
        <v>1607</v>
      </c>
      <c r="J216">
        <v>1.85</v>
      </c>
      <c r="K216" t="s">
        <v>77</v>
      </c>
    </row>
    <row r="217" spans="1:11" x14ac:dyDescent="0.35">
      <c r="A217" t="s">
        <v>1608</v>
      </c>
      <c r="B217" t="s">
        <v>1609</v>
      </c>
      <c r="C217" t="s">
        <v>1610</v>
      </c>
      <c r="D217" t="s">
        <v>1055</v>
      </c>
      <c r="E217" t="s">
        <v>1611</v>
      </c>
      <c r="F217" t="s">
        <v>1612</v>
      </c>
      <c r="G217" t="s">
        <v>1613</v>
      </c>
      <c r="H217" t="s">
        <v>1614</v>
      </c>
      <c r="I217" t="s">
        <v>1615</v>
      </c>
      <c r="J217">
        <v>7.0399999999999991</v>
      </c>
      <c r="K217" t="s">
        <v>182</v>
      </c>
    </row>
    <row r="218" spans="1:11" x14ac:dyDescent="0.35">
      <c r="A218" t="s">
        <v>1616</v>
      </c>
      <c r="B218" t="s">
        <v>1617</v>
      </c>
      <c r="C218" t="s">
        <v>1618</v>
      </c>
      <c r="D218" t="s">
        <v>101</v>
      </c>
      <c r="E218" t="s">
        <v>285</v>
      </c>
      <c r="F218" t="s">
        <v>132</v>
      </c>
      <c r="G218" t="s">
        <v>1619</v>
      </c>
      <c r="H218" t="s">
        <v>1620</v>
      </c>
      <c r="I218" t="s">
        <v>1621</v>
      </c>
      <c r="J218">
        <v>7.3333333333333334E-2</v>
      </c>
      <c r="K218" t="s">
        <v>38</v>
      </c>
    </row>
    <row r="219" spans="1:11" x14ac:dyDescent="0.35">
      <c r="A219" t="s">
        <v>1622</v>
      </c>
      <c r="B219" t="s">
        <v>1622</v>
      </c>
      <c r="C219" t="s">
        <v>1623</v>
      </c>
      <c r="D219" t="s">
        <v>269</v>
      </c>
      <c r="E219" t="s">
        <v>637</v>
      </c>
      <c r="F219" t="s">
        <v>1624</v>
      </c>
      <c r="G219" t="s">
        <v>1625</v>
      </c>
      <c r="H219" t="s">
        <v>1626</v>
      </c>
      <c r="I219" t="s">
        <v>1627</v>
      </c>
      <c r="J219">
        <v>1.976666666666667</v>
      </c>
      <c r="K219" t="s">
        <v>182</v>
      </c>
    </row>
    <row r="220" spans="1:11" x14ac:dyDescent="0.35">
      <c r="A220" t="s">
        <v>1628</v>
      </c>
      <c r="B220" t="s">
        <v>1629</v>
      </c>
      <c r="C220" t="s">
        <v>1630</v>
      </c>
      <c r="D220" t="s">
        <v>81</v>
      </c>
      <c r="E220" t="s">
        <v>286</v>
      </c>
      <c r="F220" t="s">
        <v>1631</v>
      </c>
      <c r="G220" t="s">
        <v>1632</v>
      </c>
      <c r="H220" t="s">
        <v>1633</v>
      </c>
      <c r="I220" t="s">
        <v>633</v>
      </c>
      <c r="J220">
        <v>2.14</v>
      </c>
      <c r="K220" t="s">
        <v>182</v>
      </c>
    </row>
    <row r="221" spans="1:11" x14ac:dyDescent="0.35">
      <c r="A221" t="s">
        <v>1634</v>
      </c>
      <c r="B221" t="s">
        <v>1635</v>
      </c>
      <c r="C221" t="s">
        <v>1636</v>
      </c>
      <c r="D221" t="s">
        <v>1637</v>
      </c>
      <c r="E221" t="s">
        <v>997</v>
      </c>
      <c r="F221" t="s">
        <v>1638</v>
      </c>
      <c r="G221" t="s">
        <v>1639</v>
      </c>
      <c r="H221" t="s">
        <v>1640</v>
      </c>
      <c r="I221" t="s">
        <v>1641</v>
      </c>
      <c r="J221">
        <v>6.3766666666666678</v>
      </c>
      <c r="K221" t="s">
        <v>182</v>
      </c>
    </row>
    <row r="222" spans="1:11" x14ac:dyDescent="0.35">
      <c r="A222" t="s">
        <v>1642</v>
      </c>
      <c r="B222" t="s">
        <v>1643</v>
      </c>
      <c r="C222" t="s">
        <v>1644</v>
      </c>
      <c r="D222" t="s">
        <v>34</v>
      </c>
      <c r="E222" t="s">
        <v>1645</v>
      </c>
      <c r="F222" t="s">
        <v>1646</v>
      </c>
      <c r="G222" t="s">
        <v>1647</v>
      </c>
      <c r="H222" t="s">
        <v>1648</v>
      </c>
      <c r="I222" t="s">
        <v>1649</v>
      </c>
      <c r="J222">
        <v>5.4833333333333334</v>
      </c>
      <c r="K222" t="s">
        <v>182</v>
      </c>
    </row>
    <row r="223" spans="1:11" x14ac:dyDescent="0.35">
      <c r="A223" t="s">
        <v>1650</v>
      </c>
      <c r="B223" t="s">
        <v>1651</v>
      </c>
      <c r="C223" t="s">
        <v>1652</v>
      </c>
      <c r="D223" t="s">
        <v>101</v>
      </c>
      <c r="E223" t="s">
        <v>14</v>
      </c>
      <c r="F223" t="s">
        <v>520</v>
      </c>
      <c r="G223" t="s">
        <v>1653</v>
      </c>
      <c r="H223" t="s">
        <v>1654</v>
      </c>
      <c r="I223" t="s">
        <v>1655</v>
      </c>
      <c r="J223">
        <v>0.35999999999999988</v>
      </c>
      <c r="K223" t="s">
        <v>77</v>
      </c>
    </row>
    <row r="224" spans="1:11" x14ac:dyDescent="0.35">
      <c r="A224" t="s">
        <v>1656</v>
      </c>
      <c r="B224" t="s">
        <v>1657</v>
      </c>
      <c r="C224" t="s">
        <v>1658</v>
      </c>
      <c r="D224" t="s">
        <v>1118</v>
      </c>
      <c r="E224" t="s">
        <v>1178</v>
      </c>
      <c r="F224" t="s">
        <v>1659</v>
      </c>
      <c r="G224" t="s">
        <v>1660</v>
      </c>
      <c r="H224" t="s">
        <v>1661</v>
      </c>
      <c r="I224" t="s">
        <v>1662</v>
      </c>
      <c r="J224">
        <v>3.38</v>
      </c>
      <c r="K224" t="s">
        <v>182</v>
      </c>
    </row>
    <row r="225" spans="1:11" x14ac:dyDescent="0.35">
      <c r="A225" t="s">
        <v>1663</v>
      </c>
      <c r="B225" t="s">
        <v>1664</v>
      </c>
      <c r="C225" t="s">
        <v>1665</v>
      </c>
      <c r="D225" t="s">
        <v>101</v>
      </c>
      <c r="E225" t="s">
        <v>1666</v>
      </c>
      <c r="F225" t="s">
        <v>1667</v>
      </c>
      <c r="G225" t="s">
        <v>1668</v>
      </c>
      <c r="H225" t="s">
        <v>1669</v>
      </c>
      <c r="I225" t="s">
        <v>421</v>
      </c>
      <c r="J225">
        <v>4.38</v>
      </c>
      <c r="K225" t="s">
        <v>182</v>
      </c>
    </row>
    <row r="226" spans="1:11" x14ac:dyDescent="0.35">
      <c r="A226" t="s">
        <v>1670</v>
      </c>
      <c r="B226" t="s">
        <v>1671</v>
      </c>
      <c r="C226" t="s">
        <v>1672</v>
      </c>
      <c r="D226" t="s">
        <v>520</v>
      </c>
      <c r="E226" t="s">
        <v>1054</v>
      </c>
      <c r="F226" t="s">
        <v>1187</v>
      </c>
      <c r="G226" t="s">
        <v>1673</v>
      </c>
      <c r="H226" t="s">
        <v>1674</v>
      </c>
      <c r="I226" t="s">
        <v>1675</v>
      </c>
      <c r="J226">
        <v>1.37</v>
      </c>
      <c r="K226" t="s">
        <v>182</v>
      </c>
    </row>
    <row r="227" spans="1:11" x14ac:dyDescent="0.35">
      <c r="A227" t="s">
        <v>1676</v>
      </c>
      <c r="B227" t="s">
        <v>1677</v>
      </c>
      <c r="C227" t="s">
        <v>1678</v>
      </c>
      <c r="D227" t="s">
        <v>33</v>
      </c>
      <c r="E227" t="s">
        <v>400</v>
      </c>
      <c r="F227" t="s">
        <v>686</v>
      </c>
      <c r="G227" t="s">
        <v>1679</v>
      </c>
      <c r="H227" t="s">
        <v>1680</v>
      </c>
      <c r="I227" t="s">
        <v>1681</v>
      </c>
      <c r="J227">
        <v>0.36999999999999988</v>
      </c>
      <c r="K227" t="s">
        <v>182</v>
      </c>
    </row>
    <row r="228" spans="1:11" x14ac:dyDescent="0.35">
      <c r="A228" t="s">
        <v>1682</v>
      </c>
      <c r="B228" t="s">
        <v>1683</v>
      </c>
      <c r="C228" t="s">
        <v>1684</v>
      </c>
      <c r="D228" t="s">
        <v>285</v>
      </c>
      <c r="E228" t="s">
        <v>1110</v>
      </c>
      <c r="F228" t="s">
        <v>1441</v>
      </c>
      <c r="G228" t="s">
        <v>1685</v>
      </c>
      <c r="H228" t="s">
        <v>1686</v>
      </c>
      <c r="I228" t="s">
        <v>1687</v>
      </c>
      <c r="J228">
        <v>0.67666666666666675</v>
      </c>
      <c r="K228" t="s">
        <v>182</v>
      </c>
    </row>
    <row r="229" spans="1:11" x14ac:dyDescent="0.35">
      <c r="A229" t="s">
        <v>1688</v>
      </c>
      <c r="B229" t="s">
        <v>1689</v>
      </c>
      <c r="C229" t="s">
        <v>1690</v>
      </c>
      <c r="D229" t="s">
        <v>101</v>
      </c>
      <c r="E229" t="s">
        <v>1691</v>
      </c>
      <c r="F229" t="s">
        <v>467</v>
      </c>
      <c r="G229" t="s">
        <v>1692</v>
      </c>
      <c r="H229" t="s">
        <v>1693</v>
      </c>
      <c r="I229" t="s">
        <v>1694</v>
      </c>
      <c r="J229">
        <v>2.21</v>
      </c>
      <c r="K229" t="s">
        <v>182</v>
      </c>
    </row>
    <row r="230" spans="1:11" x14ac:dyDescent="0.35">
      <c r="A230" t="s">
        <v>1695</v>
      </c>
      <c r="B230" t="s">
        <v>1696</v>
      </c>
      <c r="C230" t="s">
        <v>1697</v>
      </c>
      <c r="D230" t="s">
        <v>1698</v>
      </c>
      <c r="E230" t="s">
        <v>1699</v>
      </c>
      <c r="F230" t="s">
        <v>1700</v>
      </c>
      <c r="G230" t="s">
        <v>1701</v>
      </c>
      <c r="H230" t="s">
        <v>1702</v>
      </c>
      <c r="I230" t="s">
        <v>1703</v>
      </c>
      <c r="J230">
        <v>19.91</v>
      </c>
      <c r="K230" t="s">
        <v>182</v>
      </c>
    </row>
    <row r="231" spans="1:11" x14ac:dyDescent="0.35">
      <c r="A231" t="s">
        <v>1704</v>
      </c>
      <c r="B231" t="s">
        <v>1705</v>
      </c>
      <c r="C231" t="s">
        <v>1706</v>
      </c>
      <c r="D231" t="s">
        <v>81</v>
      </c>
      <c r="E231" t="s">
        <v>392</v>
      </c>
      <c r="F231" t="s">
        <v>1707</v>
      </c>
      <c r="G231" t="s">
        <v>1708</v>
      </c>
      <c r="H231" t="s">
        <v>1709</v>
      </c>
      <c r="I231" t="s">
        <v>1710</v>
      </c>
      <c r="J231">
        <v>1.03</v>
      </c>
      <c r="K231" t="s">
        <v>182</v>
      </c>
    </row>
    <row r="232" spans="1:11" x14ac:dyDescent="0.35">
      <c r="A232" t="s">
        <v>1711</v>
      </c>
      <c r="B232" t="s">
        <v>1711</v>
      </c>
      <c r="C232" t="s">
        <v>1712</v>
      </c>
      <c r="D232" t="s">
        <v>33</v>
      </c>
      <c r="E232" t="s">
        <v>1713</v>
      </c>
      <c r="F232" t="s">
        <v>1714</v>
      </c>
      <c r="G232" t="s">
        <v>1715</v>
      </c>
      <c r="I232" t="s">
        <v>1716</v>
      </c>
      <c r="J232">
        <v>31.13333333333334</v>
      </c>
      <c r="K232" t="s">
        <v>182</v>
      </c>
    </row>
    <row r="233" spans="1:11" x14ac:dyDescent="0.35">
      <c r="A233" t="s">
        <v>1717</v>
      </c>
      <c r="B233" t="s">
        <v>1617</v>
      </c>
      <c r="C233" t="s">
        <v>1718</v>
      </c>
      <c r="D233" t="s">
        <v>1719</v>
      </c>
      <c r="E233" t="s">
        <v>637</v>
      </c>
      <c r="F233" t="s">
        <v>1720</v>
      </c>
      <c r="G233" t="s">
        <v>1721</v>
      </c>
      <c r="H233" t="s">
        <v>1722</v>
      </c>
      <c r="I233" t="s">
        <v>1723</v>
      </c>
      <c r="J233">
        <v>6.333333333333333</v>
      </c>
      <c r="K233" t="s">
        <v>182</v>
      </c>
    </row>
    <row r="234" spans="1:11" x14ac:dyDescent="0.35">
      <c r="A234" t="s">
        <v>1724</v>
      </c>
      <c r="B234" t="s">
        <v>1725</v>
      </c>
      <c r="C234" t="s">
        <v>1726</v>
      </c>
      <c r="D234" t="s">
        <v>33</v>
      </c>
      <c r="E234" t="s">
        <v>1727</v>
      </c>
      <c r="F234" t="s">
        <v>1728</v>
      </c>
      <c r="G234" t="s">
        <v>1729</v>
      </c>
      <c r="I234" t="s">
        <v>1730</v>
      </c>
      <c r="J234">
        <v>2.083333333333333</v>
      </c>
      <c r="K234" t="s">
        <v>182</v>
      </c>
    </row>
    <row r="235" spans="1:11" x14ac:dyDescent="0.35">
      <c r="A235" t="s">
        <v>1731</v>
      </c>
      <c r="B235" t="s">
        <v>1732</v>
      </c>
      <c r="C235" t="s">
        <v>1733</v>
      </c>
      <c r="D235" t="s">
        <v>101</v>
      </c>
      <c r="E235" t="s">
        <v>600</v>
      </c>
      <c r="F235" t="s">
        <v>102</v>
      </c>
      <c r="G235" t="s">
        <v>1734</v>
      </c>
      <c r="H235" t="s">
        <v>1735</v>
      </c>
      <c r="I235" t="s">
        <v>1736</v>
      </c>
      <c r="J235">
        <v>0.46333333333333337</v>
      </c>
      <c r="K235" t="s">
        <v>77</v>
      </c>
    </row>
    <row r="236" spans="1:11" x14ac:dyDescent="0.35">
      <c r="A236" t="s">
        <v>1737</v>
      </c>
      <c r="B236" t="s">
        <v>1738</v>
      </c>
      <c r="C236" t="s">
        <v>1739</v>
      </c>
      <c r="D236" t="s">
        <v>1740</v>
      </c>
      <c r="E236" t="s">
        <v>1187</v>
      </c>
      <c r="F236" t="s">
        <v>1031</v>
      </c>
      <c r="G236" t="s">
        <v>1741</v>
      </c>
      <c r="H236" t="s">
        <v>1742</v>
      </c>
      <c r="I236" t="s">
        <v>1743</v>
      </c>
      <c r="J236">
        <v>2.77</v>
      </c>
      <c r="K236" t="s">
        <v>182</v>
      </c>
    </row>
    <row r="237" spans="1:11" x14ac:dyDescent="0.35">
      <c r="A237" t="s">
        <v>1744</v>
      </c>
      <c r="B237" t="s">
        <v>1745</v>
      </c>
      <c r="C237" t="s">
        <v>1746</v>
      </c>
      <c r="D237" t="s">
        <v>269</v>
      </c>
      <c r="E237" t="s">
        <v>1747</v>
      </c>
      <c r="F237" t="s">
        <v>1748</v>
      </c>
      <c r="G237" t="s">
        <v>1749</v>
      </c>
      <c r="H237" t="s">
        <v>1750</v>
      </c>
      <c r="I237" t="s">
        <v>1751</v>
      </c>
      <c r="J237">
        <v>2.456666666666667</v>
      </c>
      <c r="K237" t="s">
        <v>182</v>
      </c>
    </row>
    <row r="238" spans="1:11" x14ac:dyDescent="0.35">
      <c r="A238" t="s">
        <v>1752</v>
      </c>
      <c r="B238" t="s">
        <v>1753</v>
      </c>
      <c r="C238" t="s">
        <v>1754</v>
      </c>
      <c r="D238" t="s">
        <v>1238</v>
      </c>
      <c r="E238" t="s">
        <v>1240</v>
      </c>
      <c r="F238" t="s">
        <v>1755</v>
      </c>
      <c r="G238" t="s">
        <v>1756</v>
      </c>
      <c r="H238" t="s">
        <v>1757</v>
      </c>
      <c r="I238" t="s">
        <v>1758</v>
      </c>
      <c r="J238">
        <v>7.6333333333333329</v>
      </c>
      <c r="K238" t="s">
        <v>182</v>
      </c>
    </row>
    <row r="239" spans="1:11" x14ac:dyDescent="0.35">
      <c r="A239" t="s">
        <v>1759</v>
      </c>
      <c r="B239" t="s">
        <v>1760</v>
      </c>
      <c r="C239" t="s">
        <v>1761</v>
      </c>
      <c r="D239" t="s">
        <v>132</v>
      </c>
      <c r="E239" t="s">
        <v>1762</v>
      </c>
      <c r="F239" t="s">
        <v>1456</v>
      </c>
      <c r="G239" t="s">
        <v>1763</v>
      </c>
      <c r="H239" t="s">
        <v>1764</v>
      </c>
      <c r="I239" t="s">
        <v>1765</v>
      </c>
      <c r="J239">
        <v>1.946666666666667</v>
      </c>
      <c r="K239" t="s">
        <v>182</v>
      </c>
    </row>
    <row r="240" spans="1:11" x14ac:dyDescent="0.35">
      <c r="A240" t="s">
        <v>1766</v>
      </c>
      <c r="B240" t="s">
        <v>1767</v>
      </c>
      <c r="C240" t="s">
        <v>1768</v>
      </c>
      <c r="D240" t="s">
        <v>466</v>
      </c>
      <c r="E240" t="s">
        <v>232</v>
      </c>
      <c r="F240" t="s">
        <v>694</v>
      </c>
      <c r="G240" t="s">
        <v>1769</v>
      </c>
      <c r="H240" t="s">
        <v>1770</v>
      </c>
      <c r="I240" t="s">
        <v>1771</v>
      </c>
      <c r="J240">
        <v>0.36999999999999988</v>
      </c>
      <c r="K240" t="s">
        <v>182</v>
      </c>
    </row>
    <row r="241" spans="1:11" x14ac:dyDescent="0.35">
      <c r="A241" t="s">
        <v>1772</v>
      </c>
      <c r="B241" t="s">
        <v>1772</v>
      </c>
      <c r="C241" t="s">
        <v>1773</v>
      </c>
      <c r="D241" t="s">
        <v>1774</v>
      </c>
      <c r="E241" t="s">
        <v>1775</v>
      </c>
      <c r="F241" t="s">
        <v>1535</v>
      </c>
      <c r="G241" t="s">
        <v>1776</v>
      </c>
      <c r="H241" t="s">
        <v>1777</v>
      </c>
      <c r="I241" t="s">
        <v>1778</v>
      </c>
      <c r="J241">
        <v>15.266666666666669</v>
      </c>
      <c r="K241" t="s">
        <v>182</v>
      </c>
    </row>
    <row r="242" spans="1:11" x14ac:dyDescent="0.35">
      <c r="A242" t="s">
        <v>1779</v>
      </c>
      <c r="B242" t="s">
        <v>1780</v>
      </c>
      <c r="C242" t="s">
        <v>1781</v>
      </c>
      <c r="D242" t="s">
        <v>49</v>
      </c>
      <c r="E242" t="s">
        <v>592</v>
      </c>
      <c r="F242" t="s">
        <v>1782</v>
      </c>
      <c r="G242" t="s">
        <v>1783</v>
      </c>
      <c r="H242" t="s">
        <v>1784</v>
      </c>
      <c r="I242" t="s">
        <v>1785</v>
      </c>
      <c r="J242">
        <v>2.083333333333333</v>
      </c>
      <c r="K242" t="s">
        <v>182</v>
      </c>
    </row>
    <row r="243" spans="1:11" x14ac:dyDescent="0.35">
      <c r="A243" t="s">
        <v>1786</v>
      </c>
      <c r="B243" t="s">
        <v>1787</v>
      </c>
      <c r="C243" t="s">
        <v>1788</v>
      </c>
      <c r="D243" t="s">
        <v>1074</v>
      </c>
      <c r="E243" t="s">
        <v>1789</v>
      </c>
      <c r="F243" t="s">
        <v>1290</v>
      </c>
      <c r="G243" t="s">
        <v>1790</v>
      </c>
      <c r="H243" t="s">
        <v>1791</v>
      </c>
      <c r="I243" t="s">
        <v>1792</v>
      </c>
      <c r="J243">
        <v>0.98000000000000009</v>
      </c>
      <c r="K243" t="s">
        <v>77</v>
      </c>
    </row>
    <row r="244" spans="1:11" x14ac:dyDescent="0.35">
      <c r="A244" t="s">
        <v>1793</v>
      </c>
      <c r="B244" t="s">
        <v>1794</v>
      </c>
      <c r="C244" t="s">
        <v>1795</v>
      </c>
      <c r="D244" t="s">
        <v>41</v>
      </c>
      <c r="E244" t="s">
        <v>383</v>
      </c>
      <c r="F244" t="s">
        <v>1796</v>
      </c>
      <c r="G244" t="s">
        <v>1797</v>
      </c>
      <c r="H244" t="s">
        <v>1798</v>
      </c>
      <c r="I244" t="s">
        <v>1799</v>
      </c>
      <c r="J244">
        <v>2.8866666666666672</v>
      </c>
      <c r="K244" t="s">
        <v>77</v>
      </c>
    </row>
    <row r="245" spans="1:11" x14ac:dyDescent="0.35">
      <c r="A245" t="s">
        <v>1800</v>
      </c>
      <c r="B245" t="s">
        <v>1801</v>
      </c>
      <c r="C245" t="s">
        <v>1802</v>
      </c>
      <c r="D245" t="s">
        <v>48</v>
      </c>
      <c r="E245" t="s">
        <v>647</v>
      </c>
      <c r="F245" t="s">
        <v>1803</v>
      </c>
      <c r="G245" t="s">
        <v>1804</v>
      </c>
      <c r="H245" t="s">
        <v>1805</v>
      </c>
      <c r="I245" t="s">
        <v>1806</v>
      </c>
      <c r="J245">
        <v>5.2733333333333334</v>
      </c>
      <c r="K245" t="s">
        <v>182</v>
      </c>
    </row>
    <row r="246" spans="1:11" x14ac:dyDescent="0.35">
      <c r="A246" t="s">
        <v>1807</v>
      </c>
      <c r="B246" t="s">
        <v>1808</v>
      </c>
      <c r="C246" t="s">
        <v>1809</v>
      </c>
      <c r="D246" t="s">
        <v>101</v>
      </c>
      <c r="E246" t="s">
        <v>1810</v>
      </c>
      <c r="F246" t="s">
        <v>1811</v>
      </c>
      <c r="G246" t="s">
        <v>1812</v>
      </c>
      <c r="H246" t="s">
        <v>1813</v>
      </c>
      <c r="I246" t="s">
        <v>1814</v>
      </c>
      <c r="J246">
        <v>7.25</v>
      </c>
      <c r="K246" t="s">
        <v>182</v>
      </c>
    </row>
    <row r="247" spans="1:11" x14ac:dyDescent="0.35">
      <c r="A247" t="s">
        <v>1815</v>
      </c>
      <c r="B247" t="s">
        <v>1816</v>
      </c>
      <c r="C247" t="s">
        <v>1817</v>
      </c>
      <c r="D247" t="s">
        <v>24</v>
      </c>
      <c r="E247" t="s">
        <v>1818</v>
      </c>
      <c r="F247" t="s">
        <v>1819</v>
      </c>
      <c r="G247" t="s">
        <v>1820</v>
      </c>
      <c r="H247" t="s">
        <v>1821</v>
      </c>
      <c r="I247" t="s">
        <v>1822</v>
      </c>
      <c r="J247">
        <v>7.81</v>
      </c>
      <c r="K247" t="s">
        <v>182</v>
      </c>
    </row>
    <row r="248" spans="1:11" x14ac:dyDescent="0.35">
      <c r="A248" t="s">
        <v>1823</v>
      </c>
      <c r="B248" t="s">
        <v>1824</v>
      </c>
      <c r="C248" t="s">
        <v>1825</v>
      </c>
      <c r="D248" t="s">
        <v>374</v>
      </c>
      <c r="E248" t="s">
        <v>1826</v>
      </c>
      <c r="F248" t="s">
        <v>1827</v>
      </c>
      <c r="G248" t="s">
        <v>1828</v>
      </c>
      <c r="H248" t="s">
        <v>1829</v>
      </c>
      <c r="I248" t="s">
        <v>1830</v>
      </c>
      <c r="J248">
        <v>4.33</v>
      </c>
      <c r="K248" t="s">
        <v>182</v>
      </c>
    </row>
    <row r="249" spans="1:11" x14ac:dyDescent="0.35">
      <c r="A249" t="s">
        <v>1831</v>
      </c>
      <c r="B249" t="s">
        <v>1832</v>
      </c>
      <c r="C249" t="s">
        <v>1833</v>
      </c>
      <c r="D249" t="s">
        <v>1118</v>
      </c>
      <c r="E249" t="s">
        <v>669</v>
      </c>
      <c r="F249" t="s">
        <v>584</v>
      </c>
      <c r="G249" t="s">
        <v>1834</v>
      </c>
      <c r="H249" t="s">
        <v>1835</v>
      </c>
      <c r="I249" t="s">
        <v>1836</v>
      </c>
      <c r="J249">
        <v>0.62333333333333329</v>
      </c>
      <c r="K249" t="s">
        <v>182</v>
      </c>
    </row>
    <row r="250" spans="1:11" x14ac:dyDescent="0.35">
      <c r="A250" t="s">
        <v>1837</v>
      </c>
      <c r="B250" t="s">
        <v>1838</v>
      </c>
      <c r="C250" t="s">
        <v>1839</v>
      </c>
      <c r="D250" t="s">
        <v>72</v>
      </c>
      <c r="E250" t="s">
        <v>1637</v>
      </c>
      <c r="F250" t="s">
        <v>1840</v>
      </c>
      <c r="G250" t="s">
        <v>1841</v>
      </c>
      <c r="H250" t="s">
        <v>1842</v>
      </c>
      <c r="I250" t="s">
        <v>1843</v>
      </c>
      <c r="J250">
        <v>6.3933333333333344</v>
      </c>
      <c r="K250" t="s">
        <v>182</v>
      </c>
    </row>
    <row r="251" spans="1:11" x14ac:dyDescent="0.35">
      <c r="A251" t="s">
        <v>1844</v>
      </c>
      <c r="B251" t="s">
        <v>1845</v>
      </c>
      <c r="C251" t="s">
        <v>1846</v>
      </c>
      <c r="D251" t="s">
        <v>1847</v>
      </c>
      <c r="E251" t="s">
        <v>1848</v>
      </c>
      <c r="F251" t="s">
        <v>1849</v>
      </c>
      <c r="G251" t="s">
        <v>1850</v>
      </c>
      <c r="H251" t="s">
        <v>1851</v>
      </c>
      <c r="I251" t="s">
        <v>1852</v>
      </c>
      <c r="J251">
        <v>4.8933333333333344</v>
      </c>
      <c r="K251" t="s">
        <v>77</v>
      </c>
    </row>
    <row r="252" spans="1:11" x14ac:dyDescent="0.35">
      <c r="A252" t="s">
        <v>1853</v>
      </c>
      <c r="B252" t="s">
        <v>1854</v>
      </c>
      <c r="C252" t="s">
        <v>1855</v>
      </c>
      <c r="D252" t="s">
        <v>1856</v>
      </c>
      <c r="E252" t="s">
        <v>1857</v>
      </c>
      <c r="F252" t="s">
        <v>1858</v>
      </c>
      <c r="G252" t="s">
        <v>1859</v>
      </c>
      <c r="H252" t="s">
        <v>1860</v>
      </c>
      <c r="I252" t="s">
        <v>1861</v>
      </c>
      <c r="J252">
        <v>134.6166666666667</v>
      </c>
      <c r="K252" t="s">
        <v>38</v>
      </c>
    </row>
    <row r="253" spans="1:11" x14ac:dyDescent="0.35">
      <c r="A253" t="s">
        <v>1862</v>
      </c>
      <c r="B253" t="s">
        <v>1863</v>
      </c>
      <c r="C253" t="s">
        <v>1864</v>
      </c>
      <c r="D253" t="s">
        <v>269</v>
      </c>
      <c r="E253" t="s">
        <v>1865</v>
      </c>
      <c r="F253" t="s">
        <v>1866</v>
      </c>
      <c r="G253" t="s">
        <v>1867</v>
      </c>
      <c r="H253" t="s">
        <v>1868</v>
      </c>
      <c r="I253" t="s">
        <v>1869</v>
      </c>
      <c r="J253">
        <v>0.68333333333333324</v>
      </c>
      <c r="K253" t="s">
        <v>77</v>
      </c>
    </row>
    <row r="254" spans="1:11" x14ac:dyDescent="0.35">
      <c r="A254" t="s">
        <v>1870</v>
      </c>
      <c r="B254" t="s">
        <v>1871</v>
      </c>
      <c r="C254" t="s">
        <v>1872</v>
      </c>
      <c r="D254" t="s">
        <v>33</v>
      </c>
      <c r="E254" t="s">
        <v>33</v>
      </c>
      <c r="F254" t="s">
        <v>33</v>
      </c>
      <c r="G254" t="s">
        <v>1873</v>
      </c>
      <c r="I254" t="s">
        <v>1874</v>
      </c>
      <c r="J254">
        <v>0</v>
      </c>
      <c r="K254" t="s">
        <v>182</v>
      </c>
    </row>
    <row r="255" spans="1:11" x14ac:dyDescent="0.35">
      <c r="A255" t="s">
        <v>1875</v>
      </c>
      <c r="B255" t="s">
        <v>1876</v>
      </c>
      <c r="C255" t="s">
        <v>1877</v>
      </c>
      <c r="D255" t="s">
        <v>91</v>
      </c>
      <c r="E255" t="s">
        <v>269</v>
      </c>
      <c r="F255" t="s">
        <v>14</v>
      </c>
      <c r="G255" t="s">
        <v>1878</v>
      </c>
      <c r="H255" t="s">
        <v>1879</v>
      </c>
      <c r="I255" t="s">
        <v>1880</v>
      </c>
      <c r="J255">
        <v>0.1333333333333333</v>
      </c>
      <c r="K255" t="s">
        <v>182</v>
      </c>
    </row>
    <row r="256" spans="1:11" x14ac:dyDescent="0.35">
      <c r="A256" t="s">
        <v>1881</v>
      </c>
      <c r="B256" t="s">
        <v>1882</v>
      </c>
      <c r="C256" t="s">
        <v>1883</v>
      </c>
      <c r="D256" t="s">
        <v>1103</v>
      </c>
      <c r="E256" t="s">
        <v>1884</v>
      </c>
      <c r="F256" t="s">
        <v>1885</v>
      </c>
      <c r="G256" t="s">
        <v>1886</v>
      </c>
      <c r="H256" t="s">
        <v>1887</v>
      </c>
      <c r="I256" t="s">
        <v>1888</v>
      </c>
      <c r="J256">
        <v>10.01</v>
      </c>
      <c r="K256" t="s">
        <v>182</v>
      </c>
    </row>
    <row r="257" spans="1:11" x14ac:dyDescent="0.35">
      <c r="A257" t="s">
        <v>1889</v>
      </c>
      <c r="B257" t="s">
        <v>1890</v>
      </c>
      <c r="C257" t="s">
        <v>1891</v>
      </c>
      <c r="D257" t="s">
        <v>33</v>
      </c>
      <c r="E257" t="s">
        <v>1892</v>
      </c>
      <c r="F257" t="s">
        <v>1893</v>
      </c>
      <c r="G257" t="s">
        <v>1894</v>
      </c>
      <c r="I257" t="s">
        <v>1895</v>
      </c>
      <c r="J257">
        <v>5.2666666666666666</v>
      </c>
      <c r="K257" t="s">
        <v>182</v>
      </c>
    </row>
    <row r="258" spans="1:11" x14ac:dyDescent="0.35">
      <c r="A258" t="s">
        <v>1896</v>
      </c>
      <c r="B258" t="s">
        <v>1897</v>
      </c>
      <c r="C258" t="s">
        <v>1898</v>
      </c>
      <c r="D258" t="s">
        <v>101</v>
      </c>
      <c r="E258" t="s">
        <v>1899</v>
      </c>
      <c r="F258" t="s">
        <v>1900</v>
      </c>
      <c r="G258" t="s">
        <v>1901</v>
      </c>
      <c r="H258" t="s">
        <v>1902</v>
      </c>
      <c r="I258" t="s">
        <v>1903</v>
      </c>
      <c r="J258">
        <v>6.7633333333333328</v>
      </c>
      <c r="K258" t="s">
        <v>182</v>
      </c>
    </row>
    <row r="259" spans="1:11" x14ac:dyDescent="0.35">
      <c r="A259" t="s">
        <v>1904</v>
      </c>
      <c r="B259" t="s">
        <v>1904</v>
      </c>
      <c r="C259" t="s">
        <v>1905</v>
      </c>
      <c r="D259" t="s">
        <v>33</v>
      </c>
      <c r="E259" t="s">
        <v>101</v>
      </c>
      <c r="F259" t="s">
        <v>285</v>
      </c>
      <c r="G259" t="s">
        <v>1906</v>
      </c>
      <c r="I259" t="s">
        <v>1907</v>
      </c>
      <c r="J259">
        <v>2.3333333333333331E-2</v>
      </c>
      <c r="K259" t="s">
        <v>38</v>
      </c>
    </row>
    <row r="260" spans="1:11" x14ac:dyDescent="0.35">
      <c r="A260" t="s">
        <v>1908</v>
      </c>
      <c r="B260" t="s">
        <v>1909</v>
      </c>
      <c r="C260" t="s">
        <v>1910</v>
      </c>
      <c r="D260" t="s">
        <v>904</v>
      </c>
      <c r="E260" t="s">
        <v>739</v>
      </c>
      <c r="F260" t="s">
        <v>1911</v>
      </c>
      <c r="G260" t="s">
        <v>1912</v>
      </c>
      <c r="H260" t="s">
        <v>1913</v>
      </c>
      <c r="I260" t="s">
        <v>1914</v>
      </c>
      <c r="J260">
        <v>7.1133333333333333</v>
      </c>
      <c r="K260" t="s">
        <v>77</v>
      </c>
    </row>
    <row r="261" spans="1:11" x14ac:dyDescent="0.35">
      <c r="A261" t="s">
        <v>1915</v>
      </c>
      <c r="B261" t="s">
        <v>1916</v>
      </c>
      <c r="C261" t="s">
        <v>1917</v>
      </c>
      <c r="D261" t="s">
        <v>821</v>
      </c>
      <c r="E261" t="s">
        <v>1918</v>
      </c>
      <c r="F261" t="s">
        <v>1919</v>
      </c>
      <c r="G261" t="s">
        <v>1920</v>
      </c>
      <c r="H261" t="s">
        <v>1921</v>
      </c>
      <c r="I261" t="s">
        <v>1922</v>
      </c>
      <c r="J261">
        <v>5.4466666666666663</v>
      </c>
      <c r="K261" t="s">
        <v>182</v>
      </c>
    </row>
    <row r="262" spans="1:11" x14ac:dyDescent="0.35">
      <c r="A262" t="s">
        <v>1923</v>
      </c>
      <c r="B262" t="s">
        <v>1924</v>
      </c>
      <c r="C262" t="s">
        <v>1925</v>
      </c>
      <c r="D262" t="s">
        <v>34</v>
      </c>
      <c r="E262" t="s">
        <v>25</v>
      </c>
      <c r="F262" t="s">
        <v>186</v>
      </c>
      <c r="G262" t="s">
        <v>1926</v>
      </c>
      <c r="H262" t="s">
        <v>1927</v>
      </c>
      <c r="I262" t="s">
        <v>1928</v>
      </c>
      <c r="J262">
        <v>2.67</v>
      </c>
      <c r="K262" t="s">
        <v>182</v>
      </c>
    </row>
    <row r="263" spans="1:11" x14ac:dyDescent="0.35">
      <c r="A263" t="s">
        <v>1929</v>
      </c>
      <c r="B263" t="s">
        <v>1930</v>
      </c>
      <c r="C263" t="s">
        <v>1931</v>
      </c>
      <c r="D263" t="s">
        <v>499</v>
      </c>
      <c r="E263" t="s">
        <v>1932</v>
      </c>
      <c r="F263" t="s">
        <v>1933</v>
      </c>
      <c r="G263" t="s">
        <v>1934</v>
      </c>
      <c r="H263" t="s">
        <v>1935</v>
      </c>
      <c r="I263" t="s">
        <v>1936</v>
      </c>
      <c r="J263">
        <v>16.8</v>
      </c>
      <c r="K263" t="s">
        <v>182</v>
      </c>
    </row>
    <row r="264" spans="1:11" x14ac:dyDescent="0.35">
      <c r="A264" t="s">
        <v>1937</v>
      </c>
      <c r="B264" t="s">
        <v>1938</v>
      </c>
      <c r="C264" t="s">
        <v>1939</v>
      </c>
      <c r="D264" t="s">
        <v>48</v>
      </c>
      <c r="E264" t="s">
        <v>101</v>
      </c>
      <c r="F264" t="s">
        <v>285</v>
      </c>
      <c r="G264" t="s">
        <v>1940</v>
      </c>
      <c r="H264" t="s">
        <v>1941</v>
      </c>
      <c r="I264" t="s">
        <v>1942</v>
      </c>
      <c r="J264">
        <v>2.6666666666666668E-2</v>
      </c>
      <c r="K264" t="s">
        <v>182</v>
      </c>
    </row>
    <row r="265" spans="1:11" x14ac:dyDescent="0.35">
      <c r="A265" t="s">
        <v>1943</v>
      </c>
      <c r="B265" t="s">
        <v>1944</v>
      </c>
      <c r="C265" t="s">
        <v>1945</v>
      </c>
      <c r="D265" t="s">
        <v>72</v>
      </c>
      <c r="E265" t="s">
        <v>1946</v>
      </c>
      <c r="F265" t="s">
        <v>1947</v>
      </c>
      <c r="G265" t="s">
        <v>1948</v>
      </c>
      <c r="H265" t="s">
        <v>1949</v>
      </c>
      <c r="I265" t="s">
        <v>1950</v>
      </c>
      <c r="J265">
        <v>10.43</v>
      </c>
      <c r="K265" t="s">
        <v>77</v>
      </c>
    </row>
    <row r="266" spans="1:11" x14ac:dyDescent="0.35">
      <c r="A266" t="s">
        <v>1951</v>
      </c>
      <c r="B266" t="s">
        <v>1952</v>
      </c>
      <c r="C266" t="s">
        <v>1953</v>
      </c>
      <c r="D266" t="s">
        <v>1954</v>
      </c>
      <c r="E266" t="s">
        <v>1955</v>
      </c>
      <c r="F266" t="s">
        <v>831</v>
      </c>
      <c r="G266" t="s">
        <v>1956</v>
      </c>
      <c r="H266" t="s">
        <v>1957</v>
      </c>
      <c r="I266" t="s">
        <v>1958</v>
      </c>
      <c r="J266">
        <v>4.2666666666666666</v>
      </c>
      <c r="K266" t="s">
        <v>182</v>
      </c>
    </row>
    <row r="267" spans="1:11" x14ac:dyDescent="0.35">
      <c r="A267" t="s">
        <v>1959</v>
      </c>
      <c r="B267" t="s">
        <v>1960</v>
      </c>
      <c r="C267" t="s">
        <v>1961</v>
      </c>
      <c r="D267" t="s">
        <v>101</v>
      </c>
      <c r="E267" t="s">
        <v>383</v>
      </c>
      <c r="F267" t="s">
        <v>24</v>
      </c>
      <c r="G267" t="s">
        <v>1962</v>
      </c>
      <c r="H267" t="s">
        <v>1963</v>
      </c>
      <c r="I267" t="s">
        <v>1964</v>
      </c>
      <c r="J267">
        <v>0.18</v>
      </c>
      <c r="K267" t="s">
        <v>182</v>
      </c>
    </row>
    <row r="268" spans="1:11" x14ac:dyDescent="0.35">
      <c r="A268" t="s">
        <v>1965</v>
      </c>
      <c r="B268" t="s">
        <v>1966</v>
      </c>
      <c r="C268" t="s">
        <v>1967</v>
      </c>
      <c r="D268" t="s">
        <v>629</v>
      </c>
      <c r="E268" t="s">
        <v>134</v>
      </c>
      <c r="F268" t="s">
        <v>1968</v>
      </c>
      <c r="G268" t="s">
        <v>1969</v>
      </c>
      <c r="H268" t="s">
        <v>1970</v>
      </c>
      <c r="I268" t="s">
        <v>811</v>
      </c>
      <c r="J268">
        <v>10.94</v>
      </c>
      <c r="K268" t="s">
        <v>182</v>
      </c>
    </row>
    <row r="269" spans="1:11" x14ac:dyDescent="0.35">
      <c r="A269" t="s">
        <v>1971</v>
      </c>
      <c r="B269" t="s">
        <v>1972</v>
      </c>
      <c r="C269" t="s">
        <v>1973</v>
      </c>
      <c r="D269" t="s">
        <v>63</v>
      </c>
      <c r="E269" t="s">
        <v>427</v>
      </c>
      <c r="F269" t="s">
        <v>400</v>
      </c>
      <c r="G269" t="s">
        <v>1974</v>
      </c>
      <c r="H269" t="s">
        <v>1975</v>
      </c>
      <c r="I269" t="s">
        <v>699</v>
      </c>
      <c r="J269">
        <v>0.71666666666666667</v>
      </c>
      <c r="K269" t="s">
        <v>182</v>
      </c>
    </row>
    <row r="270" spans="1:11" x14ac:dyDescent="0.35">
      <c r="A270" t="s">
        <v>1976</v>
      </c>
      <c r="B270" t="s">
        <v>1976</v>
      </c>
      <c r="C270" t="s">
        <v>1977</v>
      </c>
      <c r="D270" t="s">
        <v>33</v>
      </c>
      <c r="E270" t="s">
        <v>33</v>
      </c>
      <c r="F270" t="s">
        <v>1978</v>
      </c>
      <c r="G270" t="s">
        <v>1979</v>
      </c>
      <c r="I270" t="s">
        <v>1980</v>
      </c>
      <c r="J270">
        <v>0.91333333333333344</v>
      </c>
      <c r="K270" t="s">
        <v>182</v>
      </c>
    </row>
    <row r="271" spans="1:11" x14ac:dyDescent="0.35">
      <c r="A271" t="s">
        <v>1981</v>
      </c>
      <c r="B271" t="s">
        <v>1982</v>
      </c>
      <c r="C271" t="s">
        <v>1983</v>
      </c>
      <c r="D271" t="s">
        <v>132</v>
      </c>
      <c r="E271" t="s">
        <v>1727</v>
      </c>
      <c r="F271" t="s">
        <v>1984</v>
      </c>
      <c r="G271" t="s">
        <v>1985</v>
      </c>
      <c r="H271" t="s">
        <v>1986</v>
      </c>
      <c r="I271" t="s">
        <v>1987</v>
      </c>
      <c r="J271">
        <v>7.6466666666666674</v>
      </c>
      <c r="K271" t="s">
        <v>182</v>
      </c>
    </row>
    <row r="272" spans="1:11" x14ac:dyDescent="0.35">
      <c r="A272" t="s">
        <v>1988</v>
      </c>
      <c r="B272" t="s">
        <v>1989</v>
      </c>
      <c r="C272" t="s">
        <v>1990</v>
      </c>
      <c r="D272" t="s">
        <v>293</v>
      </c>
      <c r="E272" t="s">
        <v>1991</v>
      </c>
      <c r="F272" t="s">
        <v>1992</v>
      </c>
      <c r="G272" t="s">
        <v>1993</v>
      </c>
      <c r="H272" t="s">
        <v>1994</v>
      </c>
      <c r="I272" t="s">
        <v>1599</v>
      </c>
      <c r="J272">
        <v>5.12</v>
      </c>
      <c r="K272" t="s">
        <v>77</v>
      </c>
    </row>
    <row r="273" spans="1:11" x14ac:dyDescent="0.35">
      <c r="A273" t="s">
        <v>1995</v>
      </c>
      <c r="B273" t="s">
        <v>1996</v>
      </c>
      <c r="C273" t="s">
        <v>1997</v>
      </c>
      <c r="D273" t="s">
        <v>15</v>
      </c>
      <c r="E273" t="s">
        <v>25</v>
      </c>
      <c r="F273" t="s">
        <v>1998</v>
      </c>
      <c r="G273" t="s">
        <v>1999</v>
      </c>
      <c r="H273" t="s">
        <v>2000</v>
      </c>
      <c r="I273" t="s">
        <v>2001</v>
      </c>
      <c r="J273">
        <v>0.73999999999999988</v>
      </c>
      <c r="K273" t="s">
        <v>182</v>
      </c>
    </row>
    <row r="274" spans="1:11" x14ac:dyDescent="0.35">
      <c r="A274" t="s">
        <v>2002</v>
      </c>
      <c r="B274" t="s">
        <v>2003</v>
      </c>
      <c r="C274" t="s">
        <v>2004</v>
      </c>
      <c r="D274" t="s">
        <v>48</v>
      </c>
      <c r="E274" t="s">
        <v>583</v>
      </c>
      <c r="F274" t="s">
        <v>2005</v>
      </c>
      <c r="G274" t="s">
        <v>2006</v>
      </c>
      <c r="H274" t="s">
        <v>2007</v>
      </c>
      <c r="I274" t="s">
        <v>2008</v>
      </c>
      <c r="J274">
        <v>3.5566666666666671</v>
      </c>
      <c r="K274" t="s">
        <v>182</v>
      </c>
    </row>
    <row r="275" spans="1:11" x14ac:dyDescent="0.35">
      <c r="A275" t="s">
        <v>2009</v>
      </c>
      <c r="B275" t="s">
        <v>2010</v>
      </c>
      <c r="C275" t="s">
        <v>2011</v>
      </c>
      <c r="D275" t="s">
        <v>400</v>
      </c>
      <c r="E275" t="s">
        <v>2012</v>
      </c>
      <c r="F275" t="s">
        <v>186</v>
      </c>
      <c r="G275" t="s">
        <v>2013</v>
      </c>
      <c r="H275" t="s">
        <v>2014</v>
      </c>
      <c r="I275" t="s">
        <v>2015</v>
      </c>
      <c r="J275">
        <v>4.6033333333333326</v>
      </c>
      <c r="K275" t="s">
        <v>182</v>
      </c>
    </row>
    <row r="276" spans="1:11" x14ac:dyDescent="0.35">
      <c r="A276" t="s">
        <v>2016</v>
      </c>
      <c r="B276" t="s">
        <v>2017</v>
      </c>
      <c r="C276" t="s">
        <v>2018</v>
      </c>
      <c r="D276" t="s">
        <v>466</v>
      </c>
      <c r="E276" t="s">
        <v>202</v>
      </c>
      <c r="F276" t="s">
        <v>2019</v>
      </c>
      <c r="G276" t="s">
        <v>2020</v>
      </c>
      <c r="H276" t="s">
        <v>2021</v>
      </c>
      <c r="I276" t="s">
        <v>2022</v>
      </c>
      <c r="J276">
        <v>1.2133333333333329</v>
      </c>
      <c r="K276" t="s">
        <v>182</v>
      </c>
    </row>
    <row r="277" spans="1:11" x14ac:dyDescent="0.35">
      <c r="A277" t="s">
        <v>2023</v>
      </c>
      <c r="B277" t="s">
        <v>2024</v>
      </c>
      <c r="C277" t="s">
        <v>2025</v>
      </c>
      <c r="D277" t="s">
        <v>63</v>
      </c>
      <c r="E277" t="s">
        <v>1719</v>
      </c>
      <c r="F277" t="s">
        <v>2026</v>
      </c>
      <c r="G277" t="s">
        <v>2027</v>
      </c>
      <c r="H277" t="s">
        <v>2028</v>
      </c>
      <c r="I277" t="s">
        <v>2029</v>
      </c>
      <c r="J277">
        <v>2.6333333333333329</v>
      </c>
      <c r="K277" t="s">
        <v>182</v>
      </c>
    </row>
    <row r="278" spans="1:11" x14ac:dyDescent="0.35">
      <c r="A278" t="s">
        <v>2030</v>
      </c>
      <c r="B278" t="s">
        <v>2031</v>
      </c>
      <c r="C278" t="s">
        <v>2032</v>
      </c>
      <c r="D278" t="s">
        <v>550</v>
      </c>
      <c r="E278" t="s">
        <v>367</v>
      </c>
      <c r="F278" t="s">
        <v>2033</v>
      </c>
      <c r="G278" t="s">
        <v>2034</v>
      </c>
      <c r="H278" t="s">
        <v>2035</v>
      </c>
      <c r="I278" t="s">
        <v>2036</v>
      </c>
      <c r="J278">
        <v>5.3999999999999986</v>
      </c>
      <c r="K278" t="s">
        <v>182</v>
      </c>
    </row>
    <row r="279" spans="1:11" x14ac:dyDescent="0.35">
      <c r="A279" t="s">
        <v>2037</v>
      </c>
      <c r="B279" t="s">
        <v>2038</v>
      </c>
      <c r="C279" t="s">
        <v>2039</v>
      </c>
      <c r="D279" t="s">
        <v>760</v>
      </c>
      <c r="E279" t="s">
        <v>160</v>
      </c>
      <c r="F279" t="s">
        <v>2040</v>
      </c>
      <c r="G279" t="s">
        <v>2041</v>
      </c>
      <c r="H279" t="s">
        <v>2042</v>
      </c>
      <c r="I279" t="s">
        <v>579</v>
      </c>
      <c r="J279">
        <v>2.773333333333333</v>
      </c>
      <c r="K279" t="s">
        <v>182</v>
      </c>
    </row>
    <row r="280" spans="1:11" x14ac:dyDescent="0.35">
      <c r="A280" t="s">
        <v>2043</v>
      </c>
      <c r="B280" t="s">
        <v>2044</v>
      </c>
      <c r="C280" t="s">
        <v>2045</v>
      </c>
      <c r="D280" t="s">
        <v>294</v>
      </c>
      <c r="E280" t="s">
        <v>670</v>
      </c>
      <c r="F280" t="s">
        <v>1740</v>
      </c>
      <c r="G280" t="s">
        <v>2046</v>
      </c>
      <c r="H280" t="s">
        <v>2047</v>
      </c>
      <c r="I280" t="s">
        <v>2048</v>
      </c>
      <c r="J280">
        <v>1.6</v>
      </c>
      <c r="K280" t="s">
        <v>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A41CC-4FC9-4C7F-BCFD-89D23FB60F82}">
  <dimension ref="A1:M264"/>
  <sheetViews>
    <sheetView topLeftCell="A213" zoomScale="78" workbookViewId="0">
      <selection activeCell="A229" sqref="A229"/>
    </sheetView>
  </sheetViews>
  <sheetFormatPr defaultRowHeight="14.5" x14ac:dyDescent="0.35"/>
  <cols>
    <col min="1" max="1" width="31" bestFit="1" customWidth="1"/>
    <col min="2" max="2" width="9.1796875" bestFit="1" customWidth="1"/>
    <col min="3" max="3" width="12.36328125" bestFit="1" customWidth="1"/>
    <col min="4" max="4" width="15" bestFit="1" customWidth="1"/>
    <col min="5" max="5" width="16.08984375" bestFit="1" customWidth="1"/>
    <col min="6" max="6" width="15" bestFit="1" customWidth="1"/>
    <col min="7" max="7" width="12.90625" bestFit="1" customWidth="1"/>
    <col min="8" max="8" width="18.36328125" bestFit="1" customWidth="1"/>
    <col min="9" max="9" width="18" bestFit="1" customWidth="1"/>
    <col min="10" max="10" width="19.81640625" bestFit="1" customWidth="1"/>
    <col min="11" max="11" width="12.7265625" bestFit="1" customWidth="1"/>
    <col min="12" max="12" width="21.54296875" bestFit="1" customWidth="1"/>
  </cols>
  <sheetData>
    <row r="1" spans="1:13" x14ac:dyDescent="0.35">
      <c r="A1" t="s">
        <v>0</v>
      </c>
      <c r="B1" t="s">
        <v>1</v>
      </c>
      <c r="C1" t="s">
        <v>2</v>
      </c>
      <c r="D1" t="s">
        <v>3</v>
      </c>
      <c r="E1" t="s">
        <v>4</v>
      </c>
      <c r="F1" t="s">
        <v>5</v>
      </c>
      <c r="G1" t="s">
        <v>6</v>
      </c>
      <c r="H1" t="s">
        <v>7</v>
      </c>
      <c r="I1" t="s">
        <v>8</v>
      </c>
      <c r="J1" t="s">
        <v>9</v>
      </c>
      <c r="K1" t="s">
        <v>10</v>
      </c>
      <c r="L1" t="s">
        <v>2049</v>
      </c>
      <c r="M1" t="s">
        <v>2050</v>
      </c>
    </row>
    <row r="2" spans="1:13" x14ac:dyDescent="0.35">
      <c r="A2" s="1" t="s">
        <v>11</v>
      </c>
      <c r="B2" s="1" t="s">
        <v>12</v>
      </c>
      <c r="C2">
        <v>76339.8</v>
      </c>
      <c r="D2">
        <v>1.1999999999999999E-3</v>
      </c>
      <c r="E2">
        <v>3.3E-3</v>
      </c>
      <c r="F2">
        <v>2.64E-2</v>
      </c>
      <c r="G2">
        <v>1528639234251</v>
      </c>
      <c r="H2">
        <v>41516955884</v>
      </c>
      <c r="I2" s="1" t="s">
        <v>19</v>
      </c>
      <c r="J2">
        <v>1.03</v>
      </c>
      <c r="K2" s="1" t="s">
        <v>20</v>
      </c>
      <c r="L2">
        <v>20020000</v>
      </c>
      <c r="M2">
        <f t="shared" ref="M2:M65" si="0">IFERROR(RANK(J2,$J$2:$J$5000,0),"")</f>
        <v>199</v>
      </c>
    </row>
    <row r="3" spans="1:13" x14ac:dyDescent="0.35">
      <c r="A3" s="1" t="s">
        <v>21</v>
      </c>
      <c r="B3" s="1" t="s">
        <v>22</v>
      </c>
      <c r="C3">
        <v>2273.4</v>
      </c>
      <c r="D3">
        <v>8.0000000000000004E-4</v>
      </c>
      <c r="E3">
        <v>8.8000000000000005E-3</v>
      </c>
      <c r="F3">
        <v>4.0300000000000002E-2</v>
      </c>
      <c r="G3">
        <v>274456148914</v>
      </c>
      <c r="H3">
        <v>22079620314</v>
      </c>
      <c r="I3" s="1" t="s">
        <v>29</v>
      </c>
      <c r="J3">
        <v>1.6633333333333331</v>
      </c>
      <c r="K3" s="1" t="s">
        <v>20</v>
      </c>
      <c r="L3">
        <v>120680000</v>
      </c>
      <c r="M3">
        <f t="shared" si="0"/>
        <v>154</v>
      </c>
    </row>
    <row r="4" spans="1:13" x14ac:dyDescent="0.35">
      <c r="A4" s="1" t="s">
        <v>30</v>
      </c>
      <c r="B4" s="1" t="s">
        <v>31</v>
      </c>
      <c r="C4">
        <v>0.99960000000000004</v>
      </c>
      <c r="D4">
        <v>0</v>
      </c>
      <c r="E4">
        <v>0</v>
      </c>
      <c r="F4">
        <v>4.0000000000000002E-4</v>
      </c>
      <c r="G4">
        <v>189538725719</v>
      </c>
      <c r="H4">
        <v>127735099684</v>
      </c>
      <c r="I4" s="1" t="s">
        <v>37</v>
      </c>
      <c r="J4">
        <v>1.3333333333333331E-2</v>
      </c>
      <c r="K4" s="1" t="s">
        <v>38</v>
      </c>
      <c r="L4">
        <v>189600000000</v>
      </c>
      <c r="M4">
        <f t="shared" si="0"/>
        <v>262</v>
      </c>
    </row>
    <row r="5" spans="1:13" x14ac:dyDescent="0.35">
      <c r="A5" s="1" t="s">
        <v>39</v>
      </c>
      <c r="B5" s="1" t="s">
        <v>39</v>
      </c>
      <c r="C5">
        <v>1.37</v>
      </c>
      <c r="D5">
        <v>5.9999999999999995E-4</v>
      </c>
      <c r="E5">
        <v>5.9999999999999995E-4</v>
      </c>
      <c r="F5">
        <v>3.2399999999999998E-2</v>
      </c>
      <c r="G5">
        <v>85110547351</v>
      </c>
      <c r="H5">
        <v>2422986058</v>
      </c>
      <c r="I5" s="1" t="s">
        <v>45</v>
      </c>
      <c r="J5">
        <v>1.1200000000000001</v>
      </c>
      <c r="K5" s="1" t="s">
        <v>38</v>
      </c>
      <c r="L5">
        <v>61680000000</v>
      </c>
      <c r="M5">
        <f t="shared" si="0"/>
        <v>190</v>
      </c>
    </row>
    <row r="6" spans="1:13" x14ac:dyDescent="0.35">
      <c r="A6" s="1" t="s">
        <v>46</v>
      </c>
      <c r="B6" s="1" t="s">
        <v>46</v>
      </c>
      <c r="C6">
        <v>619.64</v>
      </c>
      <c r="D6">
        <v>1E-4</v>
      </c>
      <c r="E6">
        <v>8.3000000000000001E-3</v>
      </c>
      <c r="F6">
        <v>2.92E-2</v>
      </c>
      <c r="G6">
        <v>83510385506</v>
      </c>
      <c r="H6">
        <v>1613414107</v>
      </c>
      <c r="I6" s="1" t="s">
        <v>53</v>
      </c>
      <c r="J6">
        <v>1.253333333333333</v>
      </c>
      <c r="K6" s="1" t="s">
        <v>20</v>
      </c>
      <c r="L6">
        <v>134780000</v>
      </c>
      <c r="M6">
        <f t="shared" si="0"/>
        <v>177</v>
      </c>
    </row>
    <row r="7" spans="1:13" x14ac:dyDescent="0.35">
      <c r="A7" s="1" t="s">
        <v>54</v>
      </c>
      <c r="B7" s="1" t="s">
        <v>54</v>
      </c>
      <c r="C7">
        <v>0.99990000000000001</v>
      </c>
      <c r="D7">
        <v>1E-4</v>
      </c>
      <c r="E7">
        <v>0</v>
      </c>
      <c r="F7">
        <v>2.9999999999999997E-4</v>
      </c>
      <c r="G7">
        <v>77260433231</v>
      </c>
      <c r="H7">
        <v>49363112078</v>
      </c>
      <c r="I7" s="1" t="s">
        <v>59</v>
      </c>
      <c r="J7">
        <v>1.3333333333333331E-2</v>
      </c>
      <c r="K7" s="1" t="s">
        <v>38</v>
      </c>
      <c r="L7">
        <v>77260000000</v>
      </c>
      <c r="M7">
        <f t="shared" si="0"/>
        <v>262</v>
      </c>
    </row>
    <row r="8" spans="1:13" x14ac:dyDescent="0.35">
      <c r="A8" s="1" t="s">
        <v>60</v>
      </c>
      <c r="B8" s="1" t="s">
        <v>61</v>
      </c>
      <c r="C8">
        <v>83.79</v>
      </c>
      <c r="D8">
        <v>6.9999999999999999E-4</v>
      </c>
      <c r="E8">
        <v>2.8E-3</v>
      </c>
      <c r="F8">
        <v>2.9399999999999999E-2</v>
      </c>
      <c r="G8">
        <v>48276189834</v>
      </c>
      <c r="H8">
        <v>4607299948</v>
      </c>
      <c r="I8" s="1" t="s">
        <v>68</v>
      </c>
      <c r="J8">
        <v>1.0966666666666669</v>
      </c>
      <c r="K8" s="1" t="s">
        <v>20</v>
      </c>
      <c r="L8">
        <v>576080000</v>
      </c>
      <c r="M8">
        <f t="shared" si="0"/>
        <v>192</v>
      </c>
    </row>
    <row r="9" spans="1:13" x14ac:dyDescent="0.35">
      <c r="A9" s="1" t="s">
        <v>69</v>
      </c>
      <c r="B9" s="1" t="s">
        <v>70</v>
      </c>
      <c r="C9">
        <v>0.32350000000000001</v>
      </c>
      <c r="D9">
        <v>1.1999999999999999E-3</v>
      </c>
      <c r="E9">
        <v>4.5999999999999999E-3</v>
      </c>
      <c r="F9">
        <v>1.9099999999999999E-2</v>
      </c>
      <c r="G9">
        <v>30666672948</v>
      </c>
      <c r="H9">
        <v>656480041</v>
      </c>
      <c r="I9" s="1" t="s">
        <v>76</v>
      </c>
      <c r="J9">
        <v>0.83000000000000007</v>
      </c>
      <c r="K9" s="1" t="s">
        <v>77</v>
      </c>
      <c r="L9">
        <v>94780000000</v>
      </c>
      <c r="M9">
        <f t="shared" si="0"/>
        <v>209</v>
      </c>
    </row>
    <row r="10" spans="1:13" x14ac:dyDescent="0.35">
      <c r="A10" s="1" t="s">
        <v>78</v>
      </c>
      <c r="B10" s="1" t="s">
        <v>79</v>
      </c>
      <c r="C10">
        <v>0.1074</v>
      </c>
      <c r="D10">
        <v>1.6999999999999999E-3</v>
      </c>
      <c r="E10">
        <v>7.6399999999999996E-2</v>
      </c>
      <c r="F10">
        <v>0.1147</v>
      </c>
      <c r="G10">
        <v>18238636948</v>
      </c>
      <c r="H10">
        <v>4898756574</v>
      </c>
      <c r="I10" s="1" t="s">
        <v>86</v>
      </c>
      <c r="J10">
        <v>6.4266666666666667</v>
      </c>
      <c r="K10" s="1" t="s">
        <v>77</v>
      </c>
      <c r="L10">
        <v>169740000000</v>
      </c>
      <c r="M10">
        <f t="shared" si="0"/>
        <v>51</v>
      </c>
    </row>
    <row r="11" spans="1:13" x14ac:dyDescent="0.35">
      <c r="A11" s="1" t="s">
        <v>87</v>
      </c>
      <c r="B11" s="1" t="s">
        <v>88</v>
      </c>
      <c r="C11">
        <v>40.17</v>
      </c>
      <c r="D11">
        <v>1E-3</v>
      </c>
      <c r="E11">
        <v>1.9E-3</v>
      </c>
      <c r="F11">
        <v>2.3800000000000002E-2</v>
      </c>
      <c r="G11">
        <v>10240861135</v>
      </c>
      <c r="H11">
        <v>228206723</v>
      </c>
      <c r="I11" s="1" t="s">
        <v>95</v>
      </c>
      <c r="J11">
        <v>0.89</v>
      </c>
      <c r="K11" s="1" t="s">
        <v>96</v>
      </c>
      <c r="L11">
        <v>254930000</v>
      </c>
      <c r="M11">
        <f t="shared" si="0"/>
        <v>206</v>
      </c>
    </row>
    <row r="12" spans="1:13" x14ac:dyDescent="0.35">
      <c r="A12" s="1" t="s">
        <v>97</v>
      </c>
      <c r="B12" s="1" t="s">
        <v>98</v>
      </c>
      <c r="C12">
        <v>10.37</v>
      </c>
      <c r="D12">
        <v>1.2999999999999999E-3</v>
      </c>
      <c r="E12">
        <v>2.0000000000000001E-4</v>
      </c>
      <c r="F12">
        <v>7.6E-3</v>
      </c>
      <c r="G12">
        <v>9550835296</v>
      </c>
      <c r="H12">
        <v>481113</v>
      </c>
      <c r="I12" s="1" t="s">
        <v>105</v>
      </c>
      <c r="J12">
        <v>0.30333333333333329</v>
      </c>
      <c r="K12" s="1" t="s">
        <v>96</v>
      </c>
      <c r="L12">
        <v>920730000</v>
      </c>
      <c r="M12">
        <f t="shared" si="0"/>
        <v>242</v>
      </c>
    </row>
    <row r="13" spans="1:13" x14ac:dyDescent="0.35">
      <c r="A13" s="1" t="s">
        <v>106</v>
      </c>
      <c r="B13" s="1" t="s">
        <v>107</v>
      </c>
      <c r="C13">
        <v>447.9</v>
      </c>
      <c r="D13">
        <v>1.8E-3</v>
      </c>
      <c r="E13">
        <v>9.1000000000000004E-3</v>
      </c>
      <c r="F13">
        <v>2.4500000000000001E-2</v>
      </c>
      <c r="G13">
        <v>8970586031</v>
      </c>
      <c r="H13">
        <v>204749213</v>
      </c>
      <c r="I13" s="1" t="s">
        <v>19</v>
      </c>
      <c r="J13">
        <v>1.18</v>
      </c>
      <c r="K13" s="1" t="s">
        <v>20</v>
      </c>
      <c r="L13">
        <v>20020000</v>
      </c>
      <c r="M13">
        <f t="shared" si="0"/>
        <v>187</v>
      </c>
    </row>
    <row r="14" spans="1:13" x14ac:dyDescent="0.35">
      <c r="A14" s="1" t="s">
        <v>114</v>
      </c>
      <c r="B14" s="1" t="s">
        <v>115</v>
      </c>
      <c r="C14">
        <v>0.24679999999999999</v>
      </c>
      <c r="D14">
        <v>2.8E-3</v>
      </c>
      <c r="E14">
        <v>8.0000000000000004E-4</v>
      </c>
      <c r="F14">
        <v>4.1999999999999997E-3</v>
      </c>
      <c r="G14">
        <v>8934531650</v>
      </c>
      <c r="H14">
        <v>562678331</v>
      </c>
      <c r="I14" s="1" t="s">
        <v>120</v>
      </c>
      <c r="J14">
        <v>0.26</v>
      </c>
      <c r="K14" s="1" t="s">
        <v>77</v>
      </c>
      <c r="L14">
        <v>36180000000</v>
      </c>
      <c r="M14">
        <f t="shared" si="0"/>
        <v>244</v>
      </c>
    </row>
    <row r="15" spans="1:13" x14ac:dyDescent="0.35">
      <c r="A15" s="1" t="s">
        <v>121</v>
      </c>
      <c r="B15" s="1" t="s">
        <v>122</v>
      </c>
      <c r="C15">
        <v>379.07</v>
      </c>
      <c r="D15">
        <v>4.1999999999999997E-3</v>
      </c>
      <c r="E15">
        <v>1.6000000000000001E-3</v>
      </c>
      <c r="F15">
        <v>3.0700000000000002E-2</v>
      </c>
      <c r="G15">
        <v>6992770799</v>
      </c>
      <c r="H15">
        <v>108998949</v>
      </c>
      <c r="I15" s="1" t="s">
        <v>128</v>
      </c>
      <c r="J15">
        <v>1.216666666666667</v>
      </c>
      <c r="K15" s="1" t="s">
        <v>20</v>
      </c>
      <c r="L15">
        <v>18440000</v>
      </c>
      <c r="M15">
        <f t="shared" si="0"/>
        <v>180</v>
      </c>
    </row>
    <row r="16" spans="1:13" x14ac:dyDescent="0.35">
      <c r="A16" s="1" t="s">
        <v>129</v>
      </c>
      <c r="B16" s="1" t="s">
        <v>130</v>
      </c>
      <c r="C16">
        <v>3.48</v>
      </c>
      <c r="D16">
        <v>1.5E-3</v>
      </c>
      <c r="E16">
        <v>2.4E-2</v>
      </c>
      <c r="F16">
        <v>5.4800000000000001E-2</v>
      </c>
      <c r="G16">
        <v>347905411</v>
      </c>
      <c r="H16">
        <v>63575492</v>
      </c>
      <c r="I16" s="1" t="s">
        <v>137</v>
      </c>
      <c r="J16">
        <v>2.6766666666666672</v>
      </c>
      <c r="K16" s="1" t="s">
        <v>38</v>
      </c>
      <c r="L16">
        <v>99970000</v>
      </c>
      <c r="M16">
        <f t="shared" si="0"/>
        <v>117</v>
      </c>
    </row>
    <row r="17" spans="1:13" x14ac:dyDescent="0.35">
      <c r="A17" s="1" t="s">
        <v>138</v>
      </c>
      <c r="B17" s="1" t="s">
        <v>139</v>
      </c>
      <c r="C17">
        <v>0.23089999999999999</v>
      </c>
      <c r="D17">
        <v>2.5000000000000001E-3</v>
      </c>
      <c r="E17">
        <v>1.3899999999999999E-2</v>
      </c>
      <c r="F17">
        <v>1.5100000000000001E-2</v>
      </c>
      <c r="G17">
        <v>345854876</v>
      </c>
      <c r="H17">
        <v>72020398</v>
      </c>
      <c r="I17" s="1" t="s">
        <v>146</v>
      </c>
      <c r="J17">
        <v>1.05</v>
      </c>
      <c r="K17" s="1" t="s">
        <v>77</v>
      </c>
      <c r="L17">
        <v>1490000000</v>
      </c>
      <c r="M17">
        <f t="shared" si="0"/>
        <v>197</v>
      </c>
    </row>
    <row r="18" spans="1:13" x14ac:dyDescent="0.35">
      <c r="A18" s="1" t="s">
        <v>147</v>
      </c>
      <c r="B18" s="1" t="s">
        <v>148</v>
      </c>
      <c r="C18">
        <v>0.41149999999999998</v>
      </c>
      <c r="D18">
        <v>6.6E-3</v>
      </c>
      <c r="E18">
        <v>3.0800000000000001E-2</v>
      </c>
      <c r="F18">
        <v>9.7900000000000001E-2</v>
      </c>
      <c r="G18">
        <v>342376203</v>
      </c>
      <c r="H18">
        <v>23774233</v>
      </c>
      <c r="I18" s="1" t="s">
        <v>155</v>
      </c>
      <c r="J18">
        <v>4.51</v>
      </c>
      <c r="K18" s="1" t="s">
        <v>77</v>
      </c>
      <c r="L18">
        <v>831960000</v>
      </c>
      <c r="M18">
        <f t="shared" si="0"/>
        <v>81</v>
      </c>
    </row>
    <row r="19" spans="1:13" x14ac:dyDescent="0.35">
      <c r="A19" s="1" t="s">
        <v>156</v>
      </c>
      <c r="B19" s="1" t="s">
        <v>157</v>
      </c>
      <c r="C19">
        <v>125.45</v>
      </c>
      <c r="D19">
        <v>6.4999999999999997E-3</v>
      </c>
      <c r="E19">
        <v>5.4999999999999997E-3</v>
      </c>
      <c r="F19">
        <v>2.3599999999999999E-2</v>
      </c>
      <c r="G19">
        <v>331120518</v>
      </c>
      <c r="H19">
        <v>2065052</v>
      </c>
      <c r="I19" s="1" t="s">
        <v>164</v>
      </c>
      <c r="J19">
        <v>1.186666666666667</v>
      </c>
      <c r="K19" s="1" t="s">
        <v>20</v>
      </c>
      <c r="L19">
        <v>2630000</v>
      </c>
      <c r="M19">
        <f t="shared" si="0"/>
        <v>186</v>
      </c>
    </row>
    <row r="20" spans="1:13" x14ac:dyDescent="0.35">
      <c r="A20" s="1" t="s">
        <v>165</v>
      </c>
      <c r="B20" s="1" t="s">
        <v>166</v>
      </c>
      <c r="C20">
        <v>0.1651</v>
      </c>
      <c r="D20">
        <v>1E-4</v>
      </c>
      <c r="E20">
        <v>5.7999999999999996E-3</v>
      </c>
      <c r="F20">
        <v>7.2499999999999995E-2</v>
      </c>
      <c r="G20">
        <v>330233835</v>
      </c>
      <c r="H20">
        <v>21750114</v>
      </c>
      <c r="I20" s="1" t="s">
        <v>172</v>
      </c>
      <c r="J20">
        <v>2.6133333333333328</v>
      </c>
      <c r="K20" s="1" t="s">
        <v>77</v>
      </c>
      <c r="L20">
        <v>2000000000</v>
      </c>
      <c r="M20">
        <f t="shared" si="0"/>
        <v>122</v>
      </c>
    </row>
    <row r="21" spans="1:13" x14ac:dyDescent="0.35">
      <c r="A21" s="1" t="s">
        <v>173</v>
      </c>
      <c r="B21" s="1" t="s">
        <v>174</v>
      </c>
      <c r="C21">
        <v>3.3E-3</v>
      </c>
      <c r="D21">
        <v>1.3100000000000001E-2</v>
      </c>
      <c r="E21">
        <v>1.06E-2</v>
      </c>
      <c r="F21">
        <v>0.11360000000000001</v>
      </c>
      <c r="G21">
        <v>326618165</v>
      </c>
      <c r="H21">
        <v>10089436</v>
      </c>
      <c r="I21" s="1" t="s">
        <v>181</v>
      </c>
      <c r="J21">
        <v>4.5766666666666671</v>
      </c>
      <c r="K21" s="1" t="s">
        <v>182</v>
      </c>
      <c r="L21">
        <v>99990000000</v>
      </c>
      <c r="M21">
        <f t="shared" si="0"/>
        <v>80</v>
      </c>
    </row>
    <row r="22" spans="1:13" x14ac:dyDescent="0.35">
      <c r="A22" s="1" t="s">
        <v>183</v>
      </c>
      <c r="B22" s="1" t="s">
        <v>184</v>
      </c>
      <c r="C22">
        <v>18.73</v>
      </c>
      <c r="D22">
        <v>4.0000000000000002E-4</v>
      </c>
      <c r="E22">
        <v>1.3100000000000001E-2</v>
      </c>
      <c r="F22">
        <v>7.0900000000000005E-2</v>
      </c>
      <c r="G22">
        <v>325924089</v>
      </c>
      <c r="H22">
        <v>1718582</v>
      </c>
      <c r="I22" s="1" t="s">
        <v>189</v>
      </c>
      <c r="J22">
        <v>2.813333333333333</v>
      </c>
      <c r="K22" s="1" t="s">
        <v>96</v>
      </c>
      <c r="L22">
        <v>17390000</v>
      </c>
      <c r="M22">
        <f t="shared" si="0"/>
        <v>111</v>
      </c>
    </row>
    <row r="23" spans="1:13" x14ac:dyDescent="0.35">
      <c r="A23" s="1" t="s">
        <v>190</v>
      </c>
      <c r="B23" s="1" t="s">
        <v>191</v>
      </c>
      <c r="C23">
        <v>2.7300000000000001E-2</v>
      </c>
      <c r="D23">
        <v>7.4999999999999997E-3</v>
      </c>
      <c r="E23">
        <v>6.4199999999999993E-2</v>
      </c>
      <c r="F23">
        <v>0.2</v>
      </c>
      <c r="G23">
        <v>322394095</v>
      </c>
      <c r="H23">
        <v>91616564</v>
      </c>
      <c r="I23" s="1" t="s">
        <v>198</v>
      </c>
      <c r="J23">
        <v>9.0566666666666666</v>
      </c>
      <c r="K23" s="1" t="s">
        <v>182</v>
      </c>
      <c r="L23">
        <v>11820000000</v>
      </c>
      <c r="M23">
        <f t="shared" si="0"/>
        <v>33</v>
      </c>
    </row>
    <row r="24" spans="1:13" x14ac:dyDescent="0.35">
      <c r="A24" s="1" t="s">
        <v>199</v>
      </c>
      <c r="B24" s="1" t="s">
        <v>200</v>
      </c>
      <c r="C24">
        <v>15.94</v>
      </c>
      <c r="D24">
        <v>1.4E-3</v>
      </c>
      <c r="E24">
        <v>2.8400000000000002E-2</v>
      </c>
      <c r="F24">
        <v>2.7000000000000001E-3</v>
      </c>
      <c r="G24">
        <v>319182732</v>
      </c>
      <c r="H24">
        <v>12306230</v>
      </c>
      <c r="I24" s="1" t="s">
        <v>19</v>
      </c>
      <c r="J24">
        <v>1.083333333333333</v>
      </c>
      <c r="K24" s="1" t="s">
        <v>96</v>
      </c>
      <c r="L24">
        <v>20020000</v>
      </c>
      <c r="M24">
        <f t="shared" si="0"/>
        <v>195</v>
      </c>
    </row>
    <row r="25" spans="1:13" x14ac:dyDescent="0.35">
      <c r="A25" s="1" t="s">
        <v>207</v>
      </c>
      <c r="B25" s="1" t="s">
        <v>208</v>
      </c>
      <c r="C25">
        <v>0.34989999999999999</v>
      </c>
      <c r="D25">
        <v>1.8E-3</v>
      </c>
      <c r="E25">
        <v>4.5900000000000003E-2</v>
      </c>
      <c r="F25">
        <v>4.1399999999999999E-2</v>
      </c>
      <c r="G25">
        <v>318901122</v>
      </c>
      <c r="H25">
        <v>40038559</v>
      </c>
      <c r="I25" s="1" t="s">
        <v>214</v>
      </c>
      <c r="J25">
        <v>2.97</v>
      </c>
      <c r="K25" s="1" t="s">
        <v>77</v>
      </c>
      <c r="L25">
        <v>911140000</v>
      </c>
      <c r="M25">
        <f t="shared" si="0"/>
        <v>105</v>
      </c>
    </row>
    <row r="26" spans="1:13" x14ac:dyDescent="0.35">
      <c r="A26" s="1" t="s">
        <v>215</v>
      </c>
      <c r="B26" s="1" t="s">
        <v>216</v>
      </c>
      <c r="C26">
        <v>0.37530000000000002</v>
      </c>
      <c r="D26">
        <v>1.1999999999999999E-3</v>
      </c>
      <c r="E26">
        <v>3.9699999999999999E-2</v>
      </c>
      <c r="F26">
        <v>2.1600000000000001E-2</v>
      </c>
      <c r="G26">
        <v>318722810</v>
      </c>
      <c r="H26">
        <v>72635604</v>
      </c>
      <c r="I26" s="1" t="s">
        <v>222</v>
      </c>
      <c r="J26">
        <v>2.083333333333333</v>
      </c>
      <c r="K26" s="1" t="s">
        <v>77</v>
      </c>
      <c r="L26">
        <v>849190000</v>
      </c>
      <c r="M26">
        <f t="shared" si="0"/>
        <v>134</v>
      </c>
    </row>
    <row r="27" spans="1:13" x14ac:dyDescent="0.35">
      <c r="A27" s="1" t="s">
        <v>223</v>
      </c>
      <c r="B27" s="1" t="s">
        <v>224</v>
      </c>
      <c r="C27">
        <v>6.3200000000000006E-2</v>
      </c>
      <c r="D27">
        <v>4.0000000000000002E-4</v>
      </c>
      <c r="E27">
        <v>1E-4</v>
      </c>
      <c r="F27">
        <v>1.2200000000000001E-2</v>
      </c>
      <c r="G27">
        <v>316264559</v>
      </c>
      <c r="H27">
        <v>5563195</v>
      </c>
      <c r="I27" s="1" t="s">
        <v>229</v>
      </c>
      <c r="J27">
        <v>0.42333333333333328</v>
      </c>
      <c r="K27" s="1" t="s">
        <v>77</v>
      </c>
      <c r="L27">
        <v>987030000000000</v>
      </c>
      <c r="M27">
        <f t="shared" si="0"/>
        <v>234</v>
      </c>
    </row>
    <row r="28" spans="1:13" x14ac:dyDescent="0.35">
      <c r="A28" s="1" t="s">
        <v>230</v>
      </c>
      <c r="B28" s="1" t="s">
        <v>230</v>
      </c>
      <c r="C28">
        <v>0</v>
      </c>
      <c r="D28">
        <v>4.3E-3</v>
      </c>
      <c r="E28">
        <v>2.2499999999999999E-2</v>
      </c>
      <c r="F28">
        <v>8.3000000000000001E-3</v>
      </c>
      <c r="G28">
        <v>312273665</v>
      </c>
      <c r="H28">
        <v>52369119</v>
      </c>
      <c r="I28" s="1" t="s">
        <v>236</v>
      </c>
      <c r="J28">
        <v>1.17</v>
      </c>
      <c r="K28" s="1" t="s">
        <v>182</v>
      </c>
      <c r="L28">
        <v>9530000000000</v>
      </c>
      <c r="M28">
        <f t="shared" si="0"/>
        <v>188</v>
      </c>
    </row>
    <row r="29" spans="1:13" x14ac:dyDescent="0.35">
      <c r="A29" s="1" t="s">
        <v>237</v>
      </c>
      <c r="B29" s="1" t="s">
        <v>238</v>
      </c>
      <c r="C29">
        <v>6.3100000000000003E-2</v>
      </c>
      <c r="D29">
        <v>1.1299999999999999E-2</v>
      </c>
      <c r="E29">
        <v>8.3000000000000001E-3</v>
      </c>
      <c r="F29">
        <v>6.4000000000000001E-2</v>
      </c>
      <c r="G29">
        <v>308975202</v>
      </c>
      <c r="H29">
        <v>10612151</v>
      </c>
      <c r="I29" s="1" t="s">
        <v>244</v>
      </c>
      <c r="J29">
        <v>2.7866666666666671</v>
      </c>
      <c r="K29" s="1" t="s">
        <v>77</v>
      </c>
      <c r="L29">
        <v>990100000000000</v>
      </c>
      <c r="M29">
        <f t="shared" si="0"/>
        <v>113</v>
      </c>
    </row>
    <row r="30" spans="1:13" x14ac:dyDescent="0.35">
      <c r="A30" s="1" t="s">
        <v>245</v>
      </c>
      <c r="B30" s="1" t="s">
        <v>246</v>
      </c>
      <c r="C30">
        <v>5.8599999999999999E-2</v>
      </c>
      <c r="D30">
        <v>2.9999999999999997E-4</v>
      </c>
      <c r="E30">
        <v>1.8200000000000001E-2</v>
      </c>
      <c r="F30">
        <v>1.2999999999999999E-3</v>
      </c>
      <c r="G30">
        <v>305175223</v>
      </c>
      <c r="H30">
        <v>23452779</v>
      </c>
      <c r="I30" s="1" t="s">
        <v>251</v>
      </c>
      <c r="J30">
        <v>0.66</v>
      </c>
      <c r="K30" s="1" t="s">
        <v>77</v>
      </c>
      <c r="L30">
        <v>5200000000</v>
      </c>
      <c r="M30">
        <f t="shared" si="0"/>
        <v>223</v>
      </c>
    </row>
    <row r="31" spans="1:13" x14ac:dyDescent="0.35">
      <c r="A31" s="1" t="s">
        <v>252</v>
      </c>
      <c r="B31" s="1" t="s">
        <v>253</v>
      </c>
      <c r="C31">
        <v>7.9000000000000008E-3</v>
      </c>
      <c r="D31">
        <v>4.1000000000000003E-3</v>
      </c>
      <c r="E31">
        <v>5.6300000000000003E-2</v>
      </c>
      <c r="F31">
        <v>2.6100000000000002E-2</v>
      </c>
      <c r="G31">
        <v>3766877921</v>
      </c>
      <c r="H31">
        <v>18854931</v>
      </c>
      <c r="I31" s="1" t="s">
        <v>260</v>
      </c>
      <c r="J31">
        <v>2.8833333333333329</v>
      </c>
      <c r="K31" s="1" t="s">
        <v>182</v>
      </c>
      <c r="L31">
        <v>478380000000</v>
      </c>
      <c r="M31">
        <f t="shared" si="0"/>
        <v>110</v>
      </c>
    </row>
    <row r="32" spans="1:13" x14ac:dyDescent="0.35">
      <c r="A32" s="1" t="s">
        <v>261</v>
      </c>
      <c r="B32" s="1" t="s">
        <v>261</v>
      </c>
      <c r="C32">
        <v>5.1799999999999999E-2</v>
      </c>
      <c r="D32">
        <v>1E-4</v>
      </c>
      <c r="E32">
        <v>1.6000000000000001E-3</v>
      </c>
      <c r="F32">
        <v>2.9999999999999997E-4</v>
      </c>
      <c r="G32">
        <v>1657490427</v>
      </c>
      <c r="H32">
        <v>16898107</v>
      </c>
      <c r="I32" s="1" t="s">
        <v>265</v>
      </c>
      <c r="J32">
        <v>6.6666666666666666E-2</v>
      </c>
      <c r="K32" s="1" t="s">
        <v>77</v>
      </c>
      <c r="L32">
        <v>905700000000000</v>
      </c>
      <c r="M32">
        <f t="shared" si="0"/>
        <v>252</v>
      </c>
    </row>
    <row r="33" spans="1:13" x14ac:dyDescent="0.35">
      <c r="A33" s="1" t="s">
        <v>266</v>
      </c>
      <c r="B33" s="1" t="s">
        <v>267</v>
      </c>
      <c r="C33">
        <v>1.1200000000000001</v>
      </c>
      <c r="D33">
        <v>1E-4</v>
      </c>
      <c r="E33">
        <v>8.9999999999999998E-4</v>
      </c>
      <c r="F33">
        <v>5.9999999999999995E-4</v>
      </c>
      <c r="G33">
        <v>1325414264</v>
      </c>
      <c r="H33">
        <v>638817</v>
      </c>
      <c r="I33" s="1" t="s">
        <v>272</v>
      </c>
      <c r="J33">
        <v>5.3333333333333323E-2</v>
      </c>
      <c r="K33" s="1" t="s">
        <v>38</v>
      </c>
      <c r="L33">
        <v>1170000000</v>
      </c>
      <c r="M33">
        <f t="shared" si="0"/>
        <v>255</v>
      </c>
    </row>
    <row r="34" spans="1:13" x14ac:dyDescent="0.35">
      <c r="A34" s="1" t="s">
        <v>273</v>
      </c>
      <c r="B34" s="1" t="s">
        <v>274</v>
      </c>
      <c r="C34">
        <v>0.2099</v>
      </c>
      <c r="D34">
        <v>3.8999999999999998E-3</v>
      </c>
      <c r="E34">
        <v>2.5999999999999999E-3</v>
      </c>
      <c r="F34">
        <v>4.2700000000000002E-2</v>
      </c>
      <c r="G34">
        <v>935842740</v>
      </c>
      <c r="H34">
        <v>2576244</v>
      </c>
      <c r="I34" s="1" t="s">
        <v>281</v>
      </c>
      <c r="J34">
        <v>1.64</v>
      </c>
      <c r="K34" s="1" t="s">
        <v>77</v>
      </c>
      <c r="L34">
        <v>4450000000</v>
      </c>
      <c r="M34">
        <f t="shared" si="0"/>
        <v>156</v>
      </c>
    </row>
    <row r="35" spans="1:13" x14ac:dyDescent="0.35">
      <c r="A35" s="1" t="s">
        <v>282</v>
      </c>
      <c r="B35" s="1" t="s">
        <v>283</v>
      </c>
      <c r="C35">
        <v>3.85</v>
      </c>
      <c r="D35">
        <v>5.0000000000000001E-4</v>
      </c>
      <c r="E35">
        <v>8.9999999999999998E-4</v>
      </c>
      <c r="F35">
        <v>1.7100000000000001E-2</v>
      </c>
      <c r="G35">
        <v>911294711</v>
      </c>
      <c r="H35">
        <v>5799359</v>
      </c>
      <c r="I35" s="1" t="s">
        <v>289</v>
      </c>
      <c r="J35">
        <v>0.6166666666666667</v>
      </c>
      <c r="K35" s="1" t="s">
        <v>38</v>
      </c>
      <c r="L35">
        <v>236640000</v>
      </c>
      <c r="M35">
        <f t="shared" si="0"/>
        <v>226</v>
      </c>
    </row>
    <row r="36" spans="1:13" x14ac:dyDescent="0.35">
      <c r="A36" s="1" t="s">
        <v>290</v>
      </c>
      <c r="B36" s="1" t="s">
        <v>291</v>
      </c>
      <c r="C36">
        <v>0.08</v>
      </c>
      <c r="D36">
        <v>1.1000000000000001E-3</v>
      </c>
      <c r="E36">
        <v>3.0999999999999999E-3</v>
      </c>
      <c r="F36">
        <v>5.0000000000000001E-4</v>
      </c>
      <c r="G36">
        <v>618748275</v>
      </c>
      <c r="H36">
        <v>12844559</v>
      </c>
      <c r="I36" s="1" t="s">
        <v>297</v>
      </c>
      <c r="J36">
        <v>0.15666666666666659</v>
      </c>
      <c r="K36" s="1" t="s">
        <v>77</v>
      </c>
      <c r="L36">
        <v>7730000000</v>
      </c>
      <c r="M36">
        <f t="shared" si="0"/>
        <v>248</v>
      </c>
    </row>
    <row r="37" spans="1:13" x14ac:dyDescent="0.35">
      <c r="A37" s="1" t="s">
        <v>298</v>
      </c>
      <c r="B37" s="1" t="s">
        <v>298</v>
      </c>
      <c r="C37">
        <v>0.99939999999999996</v>
      </c>
      <c r="D37">
        <v>0</v>
      </c>
      <c r="E37">
        <v>2.9999999999999997E-4</v>
      </c>
      <c r="F37">
        <v>5.0000000000000001E-4</v>
      </c>
      <c r="G37">
        <v>583701632</v>
      </c>
      <c r="H37">
        <v>1409774</v>
      </c>
      <c r="I37" s="1" t="s">
        <v>302</v>
      </c>
      <c r="J37">
        <v>2.6666666666666668E-2</v>
      </c>
      <c r="K37" s="1" t="s">
        <v>38</v>
      </c>
      <c r="L37">
        <v>584000000</v>
      </c>
      <c r="M37">
        <f t="shared" si="0"/>
        <v>257</v>
      </c>
    </row>
    <row r="38" spans="1:13" x14ac:dyDescent="0.35">
      <c r="A38" s="1" t="s">
        <v>313</v>
      </c>
      <c r="B38" s="1" t="s">
        <v>314</v>
      </c>
      <c r="C38">
        <v>0.99970000000000003</v>
      </c>
      <c r="D38">
        <v>1E-4</v>
      </c>
      <c r="E38">
        <v>0</v>
      </c>
      <c r="F38">
        <v>4.0000000000000002E-4</v>
      </c>
      <c r="G38">
        <v>359619899</v>
      </c>
      <c r="H38">
        <v>606156</v>
      </c>
      <c r="I38" s="1" t="s">
        <v>317</v>
      </c>
      <c r="J38">
        <v>1.666666666666667E-2</v>
      </c>
      <c r="K38" s="1" t="s">
        <v>38</v>
      </c>
      <c r="L38">
        <v>359690000</v>
      </c>
      <c r="M38">
        <f t="shared" si="0"/>
        <v>260</v>
      </c>
    </row>
    <row r="39" spans="1:13" x14ac:dyDescent="0.35">
      <c r="A39" s="1" t="s">
        <v>325</v>
      </c>
      <c r="B39" s="1" t="s">
        <v>326</v>
      </c>
      <c r="C39">
        <v>5.1299999999999998E-2</v>
      </c>
      <c r="D39">
        <v>1.8E-3</v>
      </c>
      <c r="E39">
        <v>1.1299999999999999E-2</v>
      </c>
      <c r="F39">
        <v>4.3200000000000002E-2</v>
      </c>
      <c r="G39">
        <v>282572112</v>
      </c>
      <c r="H39">
        <v>48970328</v>
      </c>
      <c r="I39" s="1" t="s">
        <v>331</v>
      </c>
      <c r="J39">
        <v>1.8766666666666669</v>
      </c>
      <c r="K39" s="1" t="s">
        <v>77</v>
      </c>
      <c r="L39">
        <v>210000000000000</v>
      </c>
      <c r="M39">
        <f t="shared" si="0"/>
        <v>145</v>
      </c>
    </row>
    <row r="40" spans="1:13" x14ac:dyDescent="0.35">
      <c r="A40" s="1" t="s">
        <v>332</v>
      </c>
      <c r="B40" s="1" t="s">
        <v>333</v>
      </c>
      <c r="C40">
        <v>0.99309999999999998</v>
      </c>
      <c r="D40">
        <v>5.9999999999999995E-4</v>
      </c>
      <c r="E40">
        <v>4.0000000000000002E-4</v>
      </c>
      <c r="F40">
        <v>2.0000000000000001E-4</v>
      </c>
      <c r="G40">
        <v>274032783</v>
      </c>
      <c r="H40">
        <v>193668</v>
      </c>
      <c r="I40" s="1" t="s">
        <v>337</v>
      </c>
      <c r="J40">
        <v>0.04</v>
      </c>
      <c r="K40" s="1" t="s">
        <v>38</v>
      </c>
      <c r="L40">
        <v>275930000</v>
      </c>
      <c r="M40">
        <f t="shared" si="0"/>
        <v>256</v>
      </c>
    </row>
    <row r="41" spans="1:13" x14ac:dyDescent="0.35">
      <c r="A41" s="1" t="s">
        <v>338</v>
      </c>
      <c r="B41" s="1" t="s">
        <v>339</v>
      </c>
      <c r="C41">
        <v>0.18720000000000001</v>
      </c>
      <c r="D41">
        <v>2.0000000000000001E-4</v>
      </c>
      <c r="E41">
        <v>1E-4</v>
      </c>
      <c r="F41">
        <v>7.6E-3</v>
      </c>
      <c r="G41">
        <v>183908989</v>
      </c>
      <c r="H41">
        <v>288733</v>
      </c>
      <c r="I41" s="1" t="s">
        <v>343</v>
      </c>
      <c r="J41">
        <v>0.26333333333333342</v>
      </c>
      <c r="K41" s="1" t="s">
        <v>77</v>
      </c>
      <c r="L41">
        <v>982250000</v>
      </c>
      <c r="M41">
        <f t="shared" si="0"/>
        <v>243</v>
      </c>
    </row>
    <row r="42" spans="1:13" x14ac:dyDescent="0.35">
      <c r="A42" s="1" t="s">
        <v>344</v>
      </c>
      <c r="B42" s="1" t="s">
        <v>345</v>
      </c>
      <c r="C42">
        <v>7.4000000000000003E-3</v>
      </c>
      <c r="D42">
        <v>1.9400000000000001E-2</v>
      </c>
      <c r="E42">
        <v>3.1699999999999999E-2</v>
      </c>
      <c r="F42">
        <v>5.5199999999999999E-2</v>
      </c>
      <c r="G42">
        <v>74062291</v>
      </c>
      <c r="H42">
        <v>13338110</v>
      </c>
      <c r="I42" s="1" t="s">
        <v>352</v>
      </c>
      <c r="J42">
        <v>3.543333333333333</v>
      </c>
      <c r="K42" s="1" t="s">
        <v>182</v>
      </c>
      <c r="L42">
        <v>9990000000</v>
      </c>
      <c r="M42">
        <f t="shared" si="0"/>
        <v>91</v>
      </c>
    </row>
    <row r="43" spans="1:13" x14ac:dyDescent="0.35">
      <c r="A43" s="1" t="s">
        <v>353</v>
      </c>
      <c r="B43" s="1" t="s">
        <v>354</v>
      </c>
      <c r="C43">
        <v>9.5799999999999996E-2</v>
      </c>
      <c r="D43">
        <v>2.3999999999999998E-3</v>
      </c>
      <c r="E43">
        <v>3.3099999999999997E-2</v>
      </c>
      <c r="F43">
        <v>1.2800000000000001E-2</v>
      </c>
      <c r="G43">
        <v>74031178</v>
      </c>
      <c r="H43">
        <v>4668174</v>
      </c>
      <c r="I43" s="1" t="s">
        <v>361</v>
      </c>
      <c r="J43">
        <v>1.61</v>
      </c>
      <c r="K43" s="1" t="s">
        <v>77</v>
      </c>
      <c r="L43">
        <v>772400000</v>
      </c>
      <c r="M43">
        <f t="shared" si="0"/>
        <v>157</v>
      </c>
    </row>
    <row r="44" spans="1:13" x14ac:dyDescent="0.35">
      <c r="A44" s="1" t="s">
        <v>362</v>
      </c>
      <c r="B44" s="1" t="s">
        <v>363</v>
      </c>
      <c r="C44">
        <v>1.5E-3</v>
      </c>
      <c r="D44">
        <v>4.8999999999999998E-3</v>
      </c>
      <c r="E44">
        <v>4.4999999999999997E-3</v>
      </c>
      <c r="F44">
        <v>1.7399999999999999E-2</v>
      </c>
      <c r="G44">
        <v>73350366</v>
      </c>
      <c r="H44">
        <v>3712247</v>
      </c>
      <c r="I44" s="1" t="s">
        <v>370</v>
      </c>
      <c r="J44">
        <v>0.8933333333333332</v>
      </c>
      <c r="K44" s="1" t="s">
        <v>182</v>
      </c>
      <c r="L44">
        <v>48670000000</v>
      </c>
      <c r="M44">
        <f t="shared" si="0"/>
        <v>205</v>
      </c>
    </row>
    <row r="45" spans="1:13" x14ac:dyDescent="0.35">
      <c r="A45" s="1" t="s">
        <v>371</v>
      </c>
      <c r="B45" s="1" t="s">
        <v>372</v>
      </c>
      <c r="C45">
        <v>2.23E-2</v>
      </c>
      <c r="D45">
        <v>5.1000000000000004E-3</v>
      </c>
      <c r="E45">
        <v>2.1399999999999999E-2</v>
      </c>
      <c r="F45">
        <v>3.2599999999999997E-2</v>
      </c>
      <c r="G45">
        <v>73132503</v>
      </c>
      <c r="H45">
        <v>11466149</v>
      </c>
      <c r="I45" s="1" t="s">
        <v>379</v>
      </c>
      <c r="J45">
        <v>1.97</v>
      </c>
      <c r="K45" s="1" t="s">
        <v>182</v>
      </c>
      <c r="L45">
        <v>3270000000</v>
      </c>
      <c r="M45">
        <f t="shared" si="0"/>
        <v>141</v>
      </c>
    </row>
    <row r="46" spans="1:13" x14ac:dyDescent="0.35">
      <c r="A46" s="1" t="s">
        <v>380</v>
      </c>
      <c r="B46" s="1" t="s">
        <v>381</v>
      </c>
      <c r="C46">
        <v>7.2400000000000006E-2</v>
      </c>
      <c r="D46">
        <v>4.4000000000000003E-3</v>
      </c>
      <c r="E46">
        <v>3.7699999999999997E-2</v>
      </c>
      <c r="F46">
        <v>0.13880000000000001</v>
      </c>
      <c r="G46">
        <v>72413512</v>
      </c>
      <c r="H46">
        <v>6662858</v>
      </c>
      <c r="I46" s="1" t="s">
        <v>388</v>
      </c>
      <c r="J46">
        <v>6.03</v>
      </c>
      <c r="K46" s="1" t="s">
        <v>77</v>
      </c>
      <c r="L46">
        <v>999960000</v>
      </c>
      <c r="M46">
        <f t="shared" si="0"/>
        <v>58</v>
      </c>
    </row>
    <row r="47" spans="1:13" x14ac:dyDescent="0.35">
      <c r="A47" s="1" t="s">
        <v>389</v>
      </c>
      <c r="B47" s="1" t="s">
        <v>390</v>
      </c>
      <c r="C47">
        <v>1.26E-2</v>
      </c>
      <c r="D47">
        <v>3.5999999999999999E-3</v>
      </c>
      <c r="E47">
        <v>1.5100000000000001E-2</v>
      </c>
      <c r="F47">
        <v>1.4200000000000001E-2</v>
      </c>
      <c r="G47">
        <v>72319563</v>
      </c>
      <c r="H47">
        <v>16989012</v>
      </c>
      <c r="I47" s="1" t="s">
        <v>396</v>
      </c>
      <c r="J47">
        <v>1.0966666666666669</v>
      </c>
      <c r="K47" s="1" t="s">
        <v>182</v>
      </c>
      <c r="L47">
        <v>5750000000</v>
      </c>
      <c r="M47">
        <f t="shared" si="0"/>
        <v>192</v>
      </c>
    </row>
    <row r="48" spans="1:13" x14ac:dyDescent="0.35">
      <c r="A48" s="1" t="s">
        <v>397</v>
      </c>
      <c r="B48" s="1" t="s">
        <v>398</v>
      </c>
      <c r="C48">
        <v>0.25559999999999999</v>
      </c>
      <c r="D48">
        <v>6.3E-3</v>
      </c>
      <c r="E48">
        <v>5.7099999999999998E-2</v>
      </c>
      <c r="F48">
        <v>9.3100000000000002E-2</v>
      </c>
      <c r="G48">
        <v>72047637</v>
      </c>
      <c r="H48">
        <v>13158577</v>
      </c>
      <c r="I48" s="1" t="s">
        <v>405</v>
      </c>
      <c r="J48">
        <v>5.2166666666666668</v>
      </c>
      <c r="K48" s="1" t="s">
        <v>77</v>
      </c>
      <c r="L48">
        <v>281840000</v>
      </c>
      <c r="M48">
        <f t="shared" si="0"/>
        <v>67</v>
      </c>
    </row>
    <row r="49" spans="1:13" x14ac:dyDescent="0.35">
      <c r="A49" s="1" t="s">
        <v>406</v>
      </c>
      <c r="B49" s="1" t="s">
        <v>407</v>
      </c>
      <c r="C49">
        <v>375.07</v>
      </c>
      <c r="D49">
        <v>1.5E-3</v>
      </c>
      <c r="E49">
        <v>7.0300000000000001E-2</v>
      </c>
      <c r="F49">
        <v>0.1095</v>
      </c>
      <c r="G49">
        <v>71062822</v>
      </c>
      <c r="H49">
        <v>9118217</v>
      </c>
      <c r="I49" s="1" t="s">
        <v>413</v>
      </c>
      <c r="J49">
        <v>6.043333333333333</v>
      </c>
      <c r="K49" s="1" t="s">
        <v>20</v>
      </c>
      <c r="L49">
        <v>189460</v>
      </c>
      <c r="M49">
        <f t="shared" si="0"/>
        <v>57</v>
      </c>
    </row>
    <row r="50" spans="1:13" x14ac:dyDescent="0.35">
      <c r="A50" s="1" t="s">
        <v>414</v>
      </c>
      <c r="B50" s="1" t="s">
        <v>415</v>
      </c>
      <c r="C50">
        <v>7.0999999999999994E-2</v>
      </c>
      <c r="D50">
        <v>7.1000000000000004E-3</v>
      </c>
      <c r="E50">
        <v>1.3899999999999999E-2</v>
      </c>
      <c r="F50">
        <v>7.1499999999999994E-2</v>
      </c>
      <c r="G50">
        <v>70966684</v>
      </c>
      <c r="H50">
        <v>8942254</v>
      </c>
      <c r="I50" s="1" t="s">
        <v>421</v>
      </c>
      <c r="J50">
        <v>3.083333333333333</v>
      </c>
      <c r="K50" s="1" t="s">
        <v>77</v>
      </c>
      <c r="L50">
        <v>1000000000</v>
      </c>
      <c r="M50">
        <f t="shared" si="0"/>
        <v>102</v>
      </c>
    </row>
    <row r="51" spans="1:13" x14ac:dyDescent="0.35">
      <c r="A51" s="1" t="s">
        <v>422</v>
      </c>
      <c r="B51" s="1" t="s">
        <v>423</v>
      </c>
      <c r="C51">
        <v>8.2000000000000007E-3</v>
      </c>
      <c r="D51">
        <v>8.8999999999999999E-3</v>
      </c>
      <c r="E51">
        <v>1.55E-2</v>
      </c>
      <c r="F51">
        <v>1.4500000000000001E-2</v>
      </c>
      <c r="G51">
        <v>70770090</v>
      </c>
      <c r="H51">
        <v>2498843</v>
      </c>
      <c r="I51" s="1" t="s">
        <v>430</v>
      </c>
      <c r="J51">
        <v>1.2966666666666671</v>
      </c>
      <c r="K51" s="1" t="s">
        <v>182</v>
      </c>
      <c r="L51">
        <v>8580000000</v>
      </c>
      <c r="M51">
        <f t="shared" si="0"/>
        <v>173</v>
      </c>
    </row>
    <row r="52" spans="1:13" x14ac:dyDescent="0.35">
      <c r="A52" s="1" t="s">
        <v>431</v>
      </c>
      <c r="B52" s="1" t="s">
        <v>432</v>
      </c>
      <c r="C52">
        <v>3.8999999999999998E-3</v>
      </c>
      <c r="D52">
        <v>5.1999999999999998E-3</v>
      </c>
      <c r="E52">
        <v>1.55E-2</v>
      </c>
      <c r="F52">
        <v>8.5400000000000004E-2</v>
      </c>
      <c r="G52">
        <v>70557104</v>
      </c>
      <c r="H52">
        <v>1559954</v>
      </c>
      <c r="I52" s="1" t="s">
        <v>438</v>
      </c>
      <c r="J52">
        <v>3.5366666666666671</v>
      </c>
      <c r="K52" s="1" t="s">
        <v>182</v>
      </c>
      <c r="L52">
        <v>18260000000</v>
      </c>
      <c r="M52">
        <f t="shared" si="0"/>
        <v>92</v>
      </c>
    </row>
    <row r="53" spans="1:13" x14ac:dyDescent="0.35">
      <c r="A53" s="1" t="s">
        <v>439</v>
      </c>
      <c r="B53" s="1" t="s">
        <v>440</v>
      </c>
      <c r="C53">
        <v>7.0000000000000001E-3</v>
      </c>
      <c r="D53">
        <v>3.7000000000000002E-3</v>
      </c>
      <c r="E53">
        <v>9.0899999999999995E-2</v>
      </c>
      <c r="F53">
        <v>0.1318</v>
      </c>
      <c r="G53">
        <v>70497158</v>
      </c>
      <c r="H53">
        <v>13505819</v>
      </c>
      <c r="I53" s="1" t="s">
        <v>352</v>
      </c>
      <c r="J53">
        <v>7.5466666666666669</v>
      </c>
      <c r="K53" s="1" t="s">
        <v>182</v>
      </c>
      <c r="L53">
        <v>9990000000</v>
      </c>
      <c r="M53">
        <f t="shared" si="0"/>
        <v>41</v>
      </c>
    </row>
    <row r="54" spans="1:13" x14ac:dyDescent="0.35">
      <c r="A54" s="1" t="s">
        <v>447</v>
      </c>
      <c r="B54" s="1" t="s">
        <v>448</v>
      </c>
      <c r="C54">
        <v>6.0600000000000001E-2</v>
      </c>
      <c r="D54">
        <v>1.35E-2</v>
      </c>
      <c r="E54">
        <v>1.7100000000000001E-2</v>
      </c>
      <c r="F54">
        <v>5.3100000000000001E-2</v>
      </c>
      <c r="G54">
        <v>70361978</v>
      </c>
      <c r="H54">
        <v>60743701</v>
      </c>
      <c r="I54" s="1" t="s">
        <v>454</v>
      </c>
      <c r="J54">
        <v>2.79</v>
      </c>
      <c r="K54" s="1" t="s">
        <v>77</v>
      </c>
      <c r="L54">
        <v>1160000000</v>
      </c>
      <c r="M54">
        <f t="shared" si="0"/>
        <v>112</v>
      </c>
    </row>
    <row r="55" spans="1:13" x14ac:dyDescent="0.35">
      <c r="A55" s="1" t="s">
        <v>455</v>
      </c>
      <c r="B55" s="1" t="s">
        <v>456</v>
      </c>
      <c r="C55">
        <v>5.3400000000000003E-2</v>
      </c>
      <c r="D55">
        <v>5.8900000000000001E-2</v>
      </c>
      <c r="E55">
        <v>0.47889999999999999</v>
      </c>
      <c r="F55">
        <v>0.47889999999999999</v>
      </c>
      <c r="G55">
        <v>69651110</v>
      </c>
      <c r="H55">
        <v>78699414</v>
      </c>
      <c r="I55" s="1" t="s">
        <v>462</v>
      </c>
      <c r="J55">
        <v>33.89</v>
      </c>
      <c r="K55" s="1" t="s">
        <v>77</v>
      </c>
      <c r="L55">
        <v>1300000000</v>
      </c>
      <c r="M55">
        <f t="shared" si="0"/>
        <v>4</v>
      </c>
    </row>
    <row r="56" spans="1:13" x14ac:dyDescent="0.35">
      <c r="A56" s="1" t="s">
        <v>463</v>
      </c>
      <c r="B56" s="1" t="s">
        <v>464</v>
      </c>
      <c r="C56">
        <v>0.126</v>
      </c>
      <c r="D56">
        <v>4.1000000000000003E-3</v>
      </c>
      <c r="E56">
        <v>2.0999999999999999E-3</v>
      </c>
      <c r="F56">
        <v>4.3999999999999997E-2</v>
      </c>
      <c r="G56">
        <v>68840049</v>
      </c>
      <c r="H56">
        <v>1190286</v>
      </c>
      <c r="I56" s="1" t="s">
        <v>470</v>
      </c>
      <c r="J56">
        <v>1.673333333333334</v>
      </c>
      <c r="K56" s="1" t="s">
        <v>77</v>
      </c>
      <c r="L56">
        <v>546330000</v>
      </c>
      <c r="M56">
        <f t="shared" si="0"/>
        <v>153</v>
      </c>
    </row>
    <row r="57" spans="1:13" x14ac:dyDescent="0.35">
      <c r="A57" s="1" t="s">
        <v>471</v>
      </c>
      <c r="B57" s="1" t="s">
        <v>472</v>
      </c>
      <c r="C57">
        <v>2.76</v>
      </c>
      <c r="D57">
        <v>3.5999999999999999E-3</v>
      </c>
      <c r="E57">
        <v>1.5100000000000001E-2</v>
      </c>
      <c r="F57">
        <v>3.8699999999999998E-2</v>
      </c>
      <c r="G57">
        <v>47754104</v>
      </c>
      <c r="H57">
        <v>13336235</v>
      </c>
      <c r="I57" s="1" t="s">
        <v>477</v>
      </c>
      <c r="J57">
        <v>1.9133333333333331</v>
      </c>
      <c r="K57" s="1" t="s">
        <v>38</v>
      </c>
      <c r="L57">
        <v>17260000</v>
      </c>
      <c r="M57">
        <f t="shared" si="0"/>
        <v>144</v>
      </c>
    </row>
    <row r="58" spans="1:13" x14ac:dyDescent="0.35">
      <c r="A58" s="1" t="s">
        <v>478</v>
      </c>
      <c r="B58" s="1" t="s">
        <v>479</v>
      </c>
      <c r="C58">
        <v>0.14879999999999999</v>
      </c>
      <c r="D58">
        <v>1.2500000000000001E-2</v>
      </c>
      <c r="E58">
        <v>4.2200000000000001E-2</v>
      </c>
      <c r="F58">
        <v>2.41E-2</v>
      </c>
      <c r="G58">
        <v>47635416</v>
      </c>
      <c r="H58">
        <v>12970101</v>
      </c>
      <c r="I58" s="1" t="s">
        <v>486</v>
      </c>
      <c r="J58">
        <v>2.626666666666666</v>
      </c>
      <c r="K58" s="1" t="s">
        <v>77</v>
      </c>
      <c r="L58">
        <v>320060000</v>
      </c>
      <c r="M58">
        <f t="shared" si="0"/>
        <v>121</v>
      </c>
    </row>
    <row r="59" spans="1:13" x14ac:dyDescent="0.35">
      <c r="A59" s="1" t="s">
        <v>487</v>
      </c>
      <c r="B59" s="1" t="s">
        <v>488</v>
      </c>
      <c r="C59">
        <v>1.5800000000000002E-2</v>
      </c>
      <c r="D59">
        <v>0.01</v>
      </c>
      <c r="E59">
        <v>0.23649999999999999</v>
      </c>
      <c r="F59">
        <v>1.2081</v>
      </c>
      <c r="G59">
        <v>46834853</v>
      </c>
      <c r="H59">
        <v>38791653</v>
      </c>
      <c r="I59" s="1" t="s">
        <v>495</v>
      </c>
      <c r="J59">
        <v>48.486666666666672</v>
      </c>
      <c r="K59" s="1" t="s">
        <v>182</v>
      </c>
      <c r="L59">
        <v>2960000000</v>
      </c>
      <c r="M59">
        <f t="shared" si="0"/>
        <v>3</v>
      </c>
    </row>
    <row r="60" spans="1:13" x14ac:dyDescent="0.35">
      <c r="A60" s="1" t="s">
        <v>496</v>
      </c>
      <c r="B60" s="1" t="s">
        <v>497</v>
      </c>
      <c r="C60">
        <v>0.02</v>
      </c>
      <c r="D60">
        <v>1.72E-2</v>
      </c>
      <c r="E60">
        <v>4.53E-2</v>
      </c>
      <c r="F60">
        <v>0.38890000000000002</v>
      </c>
      <c r="G60">
        <v>46022092</v>
      </c>
      <c r="H60">
        <v>8399389</v>
      </c>
      <c r="I60" s="1" t="s">
        <v>504</v>
      </c>
      <c r="J60">
        <v>15.04666666666667</v>
      </c>
      <c r="K60" s="1" t="s">
        <v>182</v>
      </c>
      <c r="L60">
        <v>2300000000</v>
      </c>
      <c r="M60">
        <f t="shared" si="0"/>
        <v>15</v>
      </c>
    </row>
    <row r="61" spans="1:13" x14ac:dyDescent="0.35">
      <c r="A61" s="1" t="s">
        <v>505</v>
      </c>
      <c r="B61" s="1" t="s">
        <v>506</v>
      </c>
      <c r="C61">
        <v>2.8999999999999998E-3</v>
      </c>
      <c r="D61">
        <v>5.0000000000000001E-4</v>
      </c>
      <c r="E61">
        <v>9.4999999999999998E-3</v>
      </c>
      <c r="F61">
        <v>2.4899999999999999E-2</v>
      </c>
      <c r="G61">
        <v>46011603</v>
      </c>
      <c r="H61">
        <v>1226209</v>
      </c>
      <c r="I61" s="1" t="s">
        <v>512</v>
      </c>
      <c r="J61">
        <v>1.1633333333333331</v>
      </c>
      <c r="K61" s="1" t="s">
        <v>182</v>
      </c>
      <c r="L61">
        <v>15870000000</v>
      </c>
      <c r="M61">
        <f t="shared" si="0"/>
        <v>189</v>
      </c>
    </row>
    <row r="62" spans="1:13" x14ac:dyDescent="0.35">
      <c r="A62" s="1" t="s">
        <v>517</v>
      </c>
      <c r="B62" s="1" t="s">
        <v>518</v>
      </c>
      <c r="C62">
        <v>6.4100000000000004E-2</v>
      </c>
      <c r="D62">
        <v>4.5999999999999999E-3</v>
      </c>
      <c r="E62">
        <v>9.4000000000000004E-3</v>
      </c>
      <c r="F62">
        <v>0.10290000000000001</v>
      </c>
      <c r="G62">
        <v>45490970</v>
      </c>
      <c r="H62">
        <v>16763953</v>
      </c>
      <c r="I62" s="1" t="s">
        <v>524</v>
      </c>
      <c r="J62">
        <v>3.8966666666666669</v>
      </c>
      <c r="K62" s="1" t="s">
        <v>77</v>
      </c>
      <c r="L62">
        <v>709980000</v>
      </c>
      <c r="M62">
        <f t="shared" si="0"/>
        <v>88</v>
      </c>
    </row>
    <row r="63" spans="1:13" x14ac:dyDescent="0.35">
      <c r="A63" s="1" t="s">
        <v>525</v>
      </c>
      <c r="B63" s="1" t="s">
        <v>333</v>
      </c>
      <c r="C63">
        <v>0.47289999999999999</v>
      </c>
      <c r="D63">
        <v>2.0000000000000001E-4</v>
      </c>
      <c r="E63">
        <v>1.9199999999999998E-2</v>
      </c>
      <c r="F63">
        <v>2.86E-2</v>
      </c>
      <c r="G63">
        <v>45153852</v>
      </c>
      <c r="H63">
        <v>1089382</v>
      </c>
      <c r="I63" s="1" t="s">
        <v>531</v>
      </c>
      <c r="J63">
        <v>1.6</v>
      </c>
      <c r="K63" s="1" t="s">
        <v>77</v>
      </c>
      <c r="L63">
        <v>95470000</v>
      </c>
      <c r="M63">
        <f t="shared" si="0"/>
        <v>158</v>
      </c>
    </row>
    <row r="64" spans="1:13" x14ac:dyDescent="0.35">
      <c r="A64" s="1" t="s">
        <v>532</v>
      </c>
      <c r="B64" s="1" t="s">
        <v>533</v>
      </c>
      <c r="C64">
        <v>0.17810000000000001</v>
      </c>
      <c r="D64">
        <v>1.8E-3</v>
      </c>
      <c r="E64">
        <v>2.8E-3</v>
      </c>
      <c r="F64">
        <v>1.6899999999999998E-2</v>
      </c>
      <c r="G64">
        <v>43969148</v>
      </c>
      <c r="H64">
        <v>4653061</v>
      </c>
      <c r="I64" s="1" t="s">
        <v>538</v>
      </c>
      <c r="J64">
        <v>0.71666666666666667</v>
      </c>
      <c r="K64" s="1" t="s">
        <v>77</v>
      </c>
      <c r="L64">
        <v>246870000</v>
      </c>
      <c r="M64">
        <f t="shared" si="0"/>
        <v>215</v>
      </c>
    </row>
    <row r="65" spans="1:13" x14ac:dyDescent="0.35">
      <c r="A65" s="1" t="s">
        <v>539</v>
      </c>
      <c r="B65" s="1" t="s">
        <v>540</v>
      </c>
      <c r="C65">
        <v>2.3300000000000001E-2</v>
      </c>
      <c r="D65">
        <v>1.8E-3</v>
      </c>
      <c r="E65">
        <v>1.32E-2</v>
      </c>
      <c r="F65">
        <v>2.3099999999999999E-2</v>
      </c>
      <c r="G65">
        <v>43940101</v>
      </c>
      <c r="H65">
        <v>1084305</v>
      </c>
      <c r="I65" s="1" t="s">
        <v>546</v>
      </c>
      <c r="J65">
        <v>1.27</v>
      </c>
      <c r="K65" s="1" t="s">
        <v>182</v>
      </c>
      <c r="L65">
        <v>1880000000</v>
      </c>
      <c r="M65">
        <f t="shared" si="0"/>
        <v>175</v>
      </c>
    </row>
    <row r="66" spans="1:13" x14ac:dyDescent="0.35">
      <c r="A66" s="1" t="s">
        <v>547</v>
      </c>
      <c r="B66" s="1" t="s">
        <v>548</v>
      </c>
      <c r="C66">
        <v>0.17910000000000001</v>
      </c>
      <c r="D66">
        <v>7.1000000000000004E-3</v>
      </c>
      <c r="E66">
        <v>7.1999999999999998E-3</v>
      </c>
      <c r="F66">
        <v>7.4200000000000002E-2</v>
      </c>
      <c r="G66">
        <v>43581244</v>
      </c>
      <c r="H66">
        <v>8332837</v>
      </c>
      <c r="I66" s="1" t="s">
        <v>554</v>
      </c>
      <c r="J66">
        <v>2.95</v>
      </c>
      <c r="K66" s="1" t="s">
        <v>77</v>
      </c>
      <c r="L66">
        <v>243230000</v>
      </c>
      <c r="M66">
        <f t="shared" ref="M66:M129" si="1">IFERROR(RANK(J66,$J$2:$J$5000,0),"")</f>
        <v>107</v>
      </c>
    </row>
    <row r="67" spans="1:13" x14ac:dyDescent="0.35">
      <c r="A67" s="1" t="s">
        <v>555</v>
      </c>
      <c r="B67" s="1" t="s">
        <v>556</v>
      </c>
      <c r="C67">
        <v>0.43190000000000001</v>
      </c>
      <c r="D67">
        <v>3.1199999999999999E-2</v>
      </c>
      <c r="E67">
        <v>8.4699999999999998E-2</v>
      </c>
      <c r="F67">
        <v>9.35E-2</v>
      </c>
      <c r="G67">
        <v>43548035</v>
      </c>
      <c r="H67">
        <v>3174625</v>
      </c>
      <c r="I67" s="1" t="s">
        <v>563</v>
      </c>
      <c r="J67">
        <v>6.98</v>
      </c>
      <c r="K67" s="1" t="s">
        <v>77</v>
      </c>
      <c r="L67">
        <v>100820000</v>
      </c>
      <c r="M67">
        <f t="shared" si="1"/>
        <v>47</v>
      </c>
    </row>
    <row r="68" spans="1:13" x14ac:dyDescent="0.35">
      <c r="A68" s="1" t="s">
        <v>564</v>
      </c>
      <c r="B68" s="1" t="s">
        <v>565</v>
      </c>
      <c r="C68">
        <v>1.44</v>
      </c>
      <c r="D68">
        <v>1E-3</v>
      </c>
      <c r="E68">
        <v>3.2599999999999997E-2</v>
      </c>
      <c r="F68">
        <v>2.6700000000000002E-2</v>
      </c>
      <c r="G68">
        <v>43486863</v>
      </c>
      <c r="H68">
        <v>15808377</v>
      </c>
      <c r="I68" s="1" t="s">
        <v>570</v>
      </c>
      <c r="J68">
        <v>2.0099999999999998</v>
      </c>
      <c r="K68" s="1" t="s">
        <v>38</v>
      </c>
      <c r="L68">
        <v>30080000</v>
      </c>
      <c r="M68">
        <f t="shared" si="1"/>
        <v>139</v>
      </c>
    </row>
    <row r="69" spans="1:13" x14ac:dyDescent="0.35">
      <c r="A69" s="1" t="s">
        <v>571</v>
      </c>
      <c r="B69" s="1" t="s">
        <v>572</v>
      </c>
      <c r="C69">
        <v>1.9800000000000002E-2</v>
      </c>
      <c r="D69">
        <v>2.5700000000000001E-2</v>
      </c>
      <c r="E69">
        <v>8.6300000000000002E-2</v>
      </c>
      <c r="F69">
        <v>0.18959999999999999</v>
      </c>
      <c r="G69">
        <v>43463113</v>
      </c>
      <c r="H69">
        <v>11948655</v>
      </c>
      <c r="I69" s="1" t="s">
        <v>579</v>
      </c>
      <c r="J69">
        <v>10.053333333333329</v>
      </c>
      <c r="K69" s="1" t="s">
        <v>182</v>
      </c>
      <c r="L69">
        <v>2200000000</v>
      </c>
      <c r="M69">
        <f t="shared" si="1"/>
        <v>30</v>
      </c>
    </row>
    <row r="70" spans="1:13" x14ac:dyDescent="0.35">
      <c r="A70" s="1" t="s">
        <v>580</v>
      </c>
      <c r="B70" s="1" t="s">
        <v>581</v>
      </c>
      <c r="C70">
        <v>0.27639999999999998</v>
      </c>
      <c r="D70">
        <v>2.3E-3</v>
      </c>
      <c r="E70">
        <v>1.18E-2</v>
      </c>
      <c r="F70">
        <v>3.9300000000000002E-2</v>
      </c>
      <c r="G70">
        <v>43434101</v>
      </c>
      <c r="H70">
        <v>324360</v>
      </c>
      <c r="I70" s="1" t="s">
        <v>588</v>
      </c>
      <c r="J70">
        <v>1.78</v>
      </c>
      <c r="K70" s="1" t="s">
        <v>77</v>
      </c>
      <c r="L70">
        <v>157130000</v>
      </c>
      <c r="M70">
        <f t="shared" si="1"/>
        <v>148</v>
      </c>
    </row>
    <row r="71" spans="1:13" x14ac:dyDescent="0.35">
      <c r="A71" s="1" t="s">
        <v>589</v>
      </c>
      <c r="B71" s="1" t="s">
        <v>590</v>
      </c>
      <c r="C71">
        <v>7.7000000000000002E-3</v>
      </c>
      <c r="D71">
        <v>7.7999999999999996E-3</v>
      </c>
      <c r="E71">
        <v>2.3199999999999998E-2</v>
      </c>
      <c r="F71">
        <v>0.15759999999999999</v>
      </c>
      <c r="G71">
        <v>34755756</v>
      </c>
      <c r="H71">
        <v>6041319</v>
      </c>
      <c r="I71" s="1" t="s">
        <v>597</v>
      </c>
      <c r="J71">
        <v>6.2866666666666662</v>
      </c>
      <c r="K71" s="1" t="s">
        <v>182</v>
      </c>
      <c r="L71">
        <v>4510000000</v>
      </c>
      <c r="M71">
        <f t="shared" si="1"/>
        <v>56</v>
      </c>
    </row>
    <row r="72" spans="1:13" x14ac:dyDescent="0.35">
      <c r="A72" s="1" t="s">
        <v>598</v>
      </c>
      <c r="B72" s="1" t="s">
        <v>598</v>
      </c>
      <c r="C72">
        <v>1.11E-2</v>
      </c>
      <c r="D72">
        <v>6.1000000000000004E-3</v>
      </c>
      <c r="E72">
        <v>3.1399999999999997E-2</v>
      </c>
      <c r="F72">
        <v>2.52E-2</v>
      </c>
      <c r="G72">
        <v>34642509</v>
      </c>
      <c r="H72">
        <v>133750816</v>
      </c>
      <c r="I72" s="1" t="s">
        <v>605</v>
      </c>
      <c r="J72">
        <v>2.09</v>
      </c>
      <c r="K72" s="1" t="s">
        <v>182</v>
      </c>
      <c r="L72">
        <v>3110000000</v>
      </c>
      <c r="M72">
        <f t="shared" si="1"/>
        <v>133</v>
      </c>
    </row>
    <row r="73" spans="1:13" x14ac:dyDescent="0.35">
      <c r="A73" s="1" t="s">
        <v>606</v>
      </c>
      <c r="B73" s="1" t="s">
        <v>607</v>
      </c>
      <c r="C73">
        <v>0.31969999999999998</v>
      </c>
      <c r="D73">
        <v>3.7000000000000002E-3</v>
      </c>
      <c r="E73">
        <v>8.0000000000000002E-3</v>
      </c>
      <c r="F73">
        <v>9.2700000000000005E-2</v>
      </c>
      <c r="G73">
        <v>34478082</v>
      </c>
      <c r="H73">
        <v>4697426</v>
      </c>
      <c r="I73" s="1" t="s">
        <v>613</v>
      </c>
      <c r="J73">
        <v>3.48</v>
      </c>
      <c r="K73" s="1" t="s">
        <v>77</v>
      </c>
      <c r="L73">
        <v>107810000</v>
      </c>
      <c r="M73">
        <f t="shared" si="1"/>
        <v>93</v>
      </c>
    </row>
    <row r="74" spans="1:13" x14ac:dyDescent="0.35">
      <c r="A74" s="1" t="s">
        <v>614</v>
      </c>
      <c r="B74" s="1" t="s">
        <v>615</v>
      </c>
      <c r="C74">
        <v>0.99990000000000001</v>
      </c>
      <c r="D74">
        <v>5.9999999999999995E-4</v>
      </c>
      <c r="E74">
        <v>6.9999999999999999E-4</v>
      </c>
      <c r="F74">
        <v>6.9999999999999999E-4</v>
      </c>
      <c r="G74">
        <v>34461136</v>
      </c>
      <c r="H74">
        <v>410367</v>
      </c>
      <c r="I74" s="1" t="s">
        <v>618</v>
      </c>
      <c r="J74">
        <v>6.6666666666666666E-2</v>
      </c>
      <c r="K74" s="1" t="s">
        <v>38</v>
      </c>
      <c r="L74">
        <v>34460000</v>
      </c>
      <c r="M74">
        <f t="shared" si="1"/>
        <v>252</v>
      </c>
    </row>
    <row r="75" spans="1:13" x14ac:dyDescent="0.35">
      <c r="A75" s="1" t="s">
        <v>619</v>
      </c>
      <c r="B75" s="1" t="s">
        <v>620</v>
      </c>
      <c r="C75">
        <v>1.1499999999999999</v>
      </c>
      <c r="D75">
        <v>1.1000000000000001E-3</v>
      </c>
      <c r="E75">
        <v>6.0000000000000001E-3</v>
      </c>
      <c r="F75">
        <v>1.44E-2</v>
      </c>
      <c r="G75">
        <v>34400268</v>
      </c>
      <c r="H75">
        <v>4165</v>
      </c>
      <c r="I75" s="1" t="s">
        <v>625</v>
      </c>
      <c r="J75">
        <v>0.71666666666666667</v>
      </c>
      <c r="K75" s="1" t="s">
        <v>38</v>
      </c>
      <c r="L75">
        <v>29820000</v>
      </c>
      <c r="M75">
        <f t="shared" si="1"/>
        <v>215</v>
      </c>
    </row>
    <row r="76" spans="1:13" x14ac:dyDescent="0.35">
      <c r="A76" s="1" t="s">
        <v>626</v>
      </c>
      <c r="B76" s="1" t="s">
        <v>627</v>
      </c>
      <c r="C76">
        <v>0.34389999999999998</v>
      </c>
      <c r="D76">
        <v>2.5999999999999999E-3</v>
      </c>
      <c r="E76">
        <v>7.4000000000000003E-3</v>
      </c>
      <c r="F76">
        <v>2.5899999999999999E-2</v>
      </c>
      <c r="G76">
        <v>34399902</v>
      </c>
      <c r="H76">
        <v>3861387</v>
      </c>
      <c r="I76" s="1" t="s">
        <v>633</v>
      </c>
      <c r="J76">
        <v>1.196666666666667</v>
      </c>
      <c r="K76" s="1" t="s">
        <v>77</v>
      </c>
      <c r="L76">
        <v>100000000</v>
      </c>
      <c r="M76">
        <f t="shared" si="1"/>
        <v>185</v>
      </c>
    </row>
    <row r="77" spans="1:13" x14ac:dyDescent="0.35">
      <c r="A77" s="1" t="s">
        <v>634</v>
      </c>
      <c r="B77" s="1" t="s">
        <v>635</v>
      </c>
      <c r="C77">
        <v>0.10150000000000001</v>
      </c>
      <c r="D77">
        <v>5.8999999999999999E-3</v>
      </c>
      <c r="E77">
        <v>1.66E-2</v>
      </c>
      <c r="F77">
        <v>8.1000000000000003E-2</v>
      </c>
      <c r="G77">
        <v>34394095</v>
      </c>
      <c r="H77">
        <v>2322728</v>
      </c>
      <c r="I77" s="1" t="s">
        <v>642</v>
      </c>
      <c r="J77">
        <v>3.45</v>
      </c>
      <c r="K77" s="1" t="s">
        <v>77</v>
      </c>
      <c r="L77">
        <v>338790000</v>
      </c>
      <c r="M77">
        <f t="shared" si="1"/>
        <v>94</v>
      </c>
    </row>
    <row r="78" spans="1:13" x14ac:dyDescent="0.35">
      <c r="A78" s="1" t="s">
        <v>643</v>
      </c>
      <c r="B78" s="1" t="s">
        <v>644</v>
      </c>
      <c r="C78">
        <v>4.6600000000000003E-2</v>
      </c>
      <c r="D78">
        <v>7.7000000000000002E-3</v>
      </c>
      <c r="E78">
        <v>8.2000000000000007E-3</v>
      </c>
      <c r="F78">
        <v>3.1099999999999999E-2</v>
      </c>
      <c r="G78">
        <v>34345276</v>
      </c>
      <c r="H78">
        <v>12505157</v>
      </c>
      <c r="I78" s="1" t="s">
        <v>651</v>
      </c>
      <c r="J78">
        <v>1.566666666666666</v>
      </c>
      <c r="K78" s="1" t="s">
        <v>182</v>
      </c>
      <c r="L78">
        <v>736200000</v>
      </c>
      <c r="M78">
        <f t="shared" si="1"/>
        <v>161</v>
      </c>
    </row>
    <row r="79" spans="1:13" x14ac:dyDescent="0.35">
      <c r="A79" s="1" t="s">
        <v>652</v>
      </c>
      <c r="B79" s="1" t="s">
        <v>653</v>
      </c>
      <c r="C79">
        <v>0.17299999999999999</v>
      </c>
      <c r="D79">
        <v>8.9999999999999998E-4</v>
      </c>
      <c r="E79">
        <v>2.64E-2</v>
      </c>
      <c r="F79">
        <v>1.26E-2</v>
      </c>
      <c r="G79">
        <v>34342934</v>
      </c>
      <c r="H79">
        <v>6529</v>
      </c>
      <c r="I79" s="1" t="s">
        <v>658</v>
      </c>
      <c r="J79">
        <v>1.33</v>
      </c>
      <c r="K79" s="1" t="s">
        <v>77</v>
      </c>
      <c r="L79">
        <v>198390000</v>
      </c>
      <c r="M79">
        <f t="shared" si="1"/>
        <v>171</v>
      </c>
    </row>
    <row r="80" spans="1:13" x14ac:dyDescent="0.35">
      <c r="A80" s="1" t="s">
        <v>659</v>
      </c>
      <c r="B80" s="1" t="s">
        <v>660</v>
      </c>
      <c r="C80">
        <v>5.0000000000000001E-4</v>
      </c>
      <c r="D80">
        <v>8.3000000000000001E-3</v>
      </c>
      <c r="E80">
        <v>1.6000000000000001E-3</v>
      </c>
      <c r="F80">
        <v>0.1429</v>
      </c>
      <c r="G80">
        <v>34342892</v>
      </c>
      <c r="H80">
        <v>8137454</v>
      </c>
      <c r="I80" s="1" t="s">
        <v>665</v>
      </c>
      <c r="J80">
        <v>5.0933333333333328</v>
      </c>
      <c r="K80" s="1" t="s">
        <v>182</v>
      </c>
      <c r="L80">
        <v>74720000000</v>
      </c>
      <c r="M80">
        <f t="shared" si="1"/>
        <v>70</v>
      </c>
    </row>
    <row r="81" spans="1:13" x14ac:dyDescent="0.35">
      <c r="A81" s="1" t="s">
        <v>666</v>
      </c>
      <c r="B81" s="1" t="s">
        <v>667</v>
      </c>
      <c r="C81">
        <v>1.67E-2</v>
      </c>
      <c r="D81">
        <v>3.5000000000000001E-3</v>
      </c>
      <c r="E81">
        <v>3.1300000000000001E-2</v>
      </c>
      <c r="F81">
        <v>3.7100000000000001E-2</v>
      </c>
      <c r="G81">
        <v>34258638</v>
      </c>
      <c r="H81">
        <v>2460159</v>
      </c>
      <c r="I81" s="1" t="s">
        <v>674</v>
      </c>
      <c r="J81">
        <v>2.3966666666666669</v>
      </c>
      <c r="K81" s="1" t="s">
        <v>182</v>
      </c>
      <c r="L81">
        <v>2049999999.9999998</v>
      </c>
      <c r="M81">
        <f t="shared" si="1"/>
        <v>126</v>
      </c>
    </row>
    <row r="82" spans="1:13" x14ac:dyDescent="0.35">
      <c r="A82" s="1" t="s">
        <v>675</v>
      </c>
      <c r="B82" s="1" t="s">
        <v>676</v>
      </c>
      <c r="C82">
        <v>4.66</v>
      </c>
      <c r="D82">
        <v>2.0000000000000001E-4</v>
      </c>
      <c r="E82">
        <v>3.2300000000000002E-2</v>
      </c>
      <c r="F82">
        <v>9.5999999999999992E-3</v>
      </c>
      <c r="G82">
        <v>34234901</v>
      </c>
      <c r="H82">
        <v>7391044</v>
      </c>
      <c r="I82" s="1" t="s">
        <v>682</v>
      </c>
      <c r="J82">
        <v>1.4033333333333331</v>
      </c>
      <c r="K82" s="1" t="s">
        <v>38</v>
      </c>
      <c r="L82">
        <v>7330000</v>
      </c>
      <c r="M82">
        <f t="shared" si="1"/>
        <v>168</v>
      </c>
    </row>
    <row r="83" spans="1:13" x14ac:dyDescent="0.35">
      <c r="A83" s="1" t="s">
        <v>683</v>
      </c>
      <c r="B83" s="1" t="s">
        <v>684</v>
      </c>
      <c r="C83">
        <v>8.3199999999999996E-2</v>
      </c>
      <c r="D83">
        <v>7.7999999999999996E-3</v>
      </c>
      <c r="E83">
        <v>4.7999999999999996E-3</v>
      </c>
      <c r="F83">
        <v>3.0499999999999999E-2</v>
      </c>
      <c r="G83">
        <v>34059204</v>
      </c>
      <c r="H83">
        <v>8378351</v>
      </c>
      <c r="I83" s="1" t="s">
        <v>690</v>
      </c>
      <c r="J83">
        <v>1.436666666666667</v>
      </c>
      <c r="K83" s="1" t="s">
        <v>77</v>
      </c>
      <c r="L83">
        <v>409500000</v>
      </c>
      <c r="M83">
        <f t="shared" si="1"/>
        <v>167</v>
      </c>
    </row>
    <row r="84" spans="1:13" x14ac:dyDescent="0.35">
      <c r="A84" s="1" t="s">
        <v>691</v>
      </c>
      <c r="B84" s="1" t="s">
        <v>692</v>
      </c>
      <c r="C84">
        <v>1.3599999999999999E-2</v>
      </c>
      <c r="D84">
        <v>4.7000000000000002E-3</v>
      </c>
      <c r="E84">
        <v>2.23E-2</v>
      </c>
      <c r="F84">
        <v>6.6299999999999998E-2</v>
      </c>
      <c r="G84">
        <v>34056298</v>
      </c>
      <c r="H84">
        <v>8047977</v>
      </c>
      <c r="I84" s="1" t="s">
        <v>699</v>
      </c>
      <c r="J84">
        <v>3.11</v>
      </c>
      <c r="K84" s="1" t="s">
        <v>182</v>
      </c>
      <c r="L84">
        <v>2500000000</v>
      </c>
      <c r="M84">
        <f t="shared" si="1"/>
        <v>100</v>
      </c>
    </row>
    <row r="85" spans="1:13" x14ac:dyDescent="0.35">
      <c r="A85" s="1" t="s">
        <v>700</v>
      </c>
      <c r="B85" s="1" t="s">
        <v>701</v>
      </c>
      <c r="C85">
        <v>6.1000000000000004E-3</v>
      </c>
      <c r="D85">
        <v>2.5000000000000001E-3</v>
      </c>
      <c r="E85">
        <v>1.7100000000000001E-2</v>
      </c>
      <c r="F85">
        <v>0.13819999999999999</v>
      </c>
      <c r="G85">
        <v>33924795</v>
      </c>
      <c r="H85">
        <v>4555722</v>
      </c>
      <c r="I85" s="1" t="s">
        <v>706</v>
      </c>
      <c r="J85">
        <v>5.2600000000000007</v>
      </c>
      <c r="K85" s="1" t="s">
        <v>182</v>
      </c>
      <c r="L85">
        <v>5570000000</v>
      </c>
      <c r="M85">
        <f t="shared" si="1"/>
        <v>66</v>
      </c>
    </row>
    <row r="86" spans="1:13" x14ac:dyDescent="0.35">
      <c r="A86" s="1" t="s">
        <v>707</v>
      </c>
      <c r="B86" s="1" t="s">
        <v>708</v>
      </c>
      <c r="C86">
        <v>3.3999999999999998E-3</v>
      </c>
      <c r="D86">
        <v>2.0000000000000001E-4</v>
      </c>
      <c r="E86">
        <v>1.0800000000000001E-2</v>
      </c>
      <c r="F86">
        <v>1.4999999999999999E-2</v>
      </c>
      <c r="G86">
        <v>27120091</v>
      </c>
      <c r="H86">
        <v>1435285</v>
      </c>
      <c r="I86" s="1" t="s">
        <v>714</v>
      </c>
      <c r="J86">
        <v>0.8666666666666667</v>
      </c>
      <c r="K86" s="1" t="s">
        <v>182</v>
      </c>
      <c r="L86">
        <v>8000000000</v>
      </c>
      <c r="M86">
        <f t="shared" si="1"/>
        <v>208</v>
      </c>
    </row>
    <row r="87" spans="1:13" x14ac:dyDescent="0.35">
      <c r="A87" s="1" t="s">
        <v>715</v>
      </c>
      <c r="B87" s="1" t="s">
        <v>716</v>
      </c>
      <c r="C87">
        <v>6.6199999999999995E-2</v>
      </c>
      <c r="D87">
        <v>1.8E-3</v>
      </c>
      <c r="E87">
        <v>1.83E-2</v>
      </c>
      <c r="F87">
        <v>4.0000000000000002E-4</v>
      </c>
      <c r="G87">
        <v>27024959</v>
      </c>
      <c r="H87">
        <v>3063215</v>
      </c>
      <c r="I87" s="1" t="s">
        <v>721</v>
      </c>
      <c r="J87">
        <v>0.68333333333333346</v>
      </c>
      <c r="K87" s="1" t="s">
        <v>77</v>
      </c>
      <c r="L87">
        <v>408210000</v>
      </c>
      <c r="M87">
        <f t="shared" si="1"/>
        <v>219</v>
      </c>
    </row>
    <row r="88" spans="1:13" x14ac:dyDescent="0.35">
      <c r="A88" s="1" t="s">
        <v>722</v>
      </c>
      <c r="B88" s="1" t="s">
        <v>723</v>
      </c>
      <c r="C88">
        <v>0.29780000000000001</v>
      </c>
      <c r="D88">
        <v>2.0999999999999999E-3</v>
      </c>
      <c r="E88">
        <v>3.7000000000000002E-3</v>
      </c>
      <c r="F88">
        <v>1.61E-2</v>
      </c>
      <c r="G88">
        <v>26996878</v>
      </c>
      <c r="H88">
        <v>1214201</v>
      </c>
      <c r="I88" s="1" t="s">
        <v>728</v>
      </c>
      <c r="J88">
        <v>0.73</v>
      </c>
      <c r="K88" s="1" t="s">
        <v>77</v>
      </c>
      <c r="L88">
        <v>90630000</v>
      </c>
      <c r="M88">
        <f t="shared" si="1"/>
        <v>214</v>
      </c>
    </row>
    <row r="89" spans="1:13" x14ac:dyDescent="0.35">
      <c r="A89" s="1" t="s">
        <v>729</v>
      </c>
      <c r="B89" s="1" t="s">
        <v>730</v>
      </c>
      <c r="C89">
        <v>3.4000000000000002E-2</v>
      </c>
      <c r="D89">
        <v>9.9000000000000008E-3</v>
      </c>
      <c r="E89">
        <v>1.9400000000000001E-2</v>
      </c>
      <c r="F89">
        <v>3.2199999999999999E-2</v>
      </c>
      <c r="G89">
        <v>26641319</v>
      </c>
      <c r="H89">
        <v>589397</v>
      </c>
      <c r="I89" s="1" t="s">
        <v>736</v>
      </c>
      <c r="J89">
        <v>2.0499999999999998</v>
      </c>
      <c r="K89" s="1" t="s">
        <v>182</v>
      </c>
      <c r="L89">
        <v>782480000</v>
      </c>
      <c r="M89">
        <f t="shared" si="1"/>
        <v>137</v>
      </c>
    </row>
    <row r="90" spans="1:13" x14ac:dyDescent="0.35">
      <c r="A90" s="1" t="s">
        <v>737</v>
      </c>
      <c r="B90" s="1" t="s">
        <v>737</v>
      </c>
      <c r="C90">
        <v>2.7799999999999998E-2</v>
      </c>
      <c r="D90">
        <v>8.9999999999999998E-4</v>
      </c>
      <c r="E90">
        <v>6.2799999999999995E-2</v>
      </c>
      <c r="F90">
        <v>0.16700000000000001</v>
      </c>
      <c r="G90">
        <v>26426898</v>
      </c>
      <c r="H90">
        <v>322128</v>
      </c>
      <c r="I90" s="1" t="s">
        <v>743</v>
      </c>
      <c r="J90">
        <v>7.69</v>
      </c>
      <c r="K90" s="1" t="s">
        <v>182</v>
      </c>
      <c r="L90">
        <v>949220000</v>
      </c>
      <c r="M90">
        <f t="shared" si="1"/>
        <v>37</v>
      </c>
    </row>
    <row r="91" spans="1:13" x14ac:dyDescent="0.35">
      <c r="A91" s="1" t="s">
        <v>744</v>
      </c>
      <c r="B91" s="1" t="s">
        <v>745</v>
      </c>
      <c r="C91">
        <v>3.15E-2</v>
      </c>
      <c r="D91">
        <v>8.5000000000000006E-3</v>
      </c>
      <c r="E91">
        <v>8.0000000000000004E-4</v>
      </c>
      <c r="F91">
        <v>1.06E-2</v>
      </c>
      <c r="G91">
        <v>26363134</v>
      </c>
      <c r="H91">
        <v>8041829</v>
      </c>
      <c r="I91" s="1" t="s">
        <v>750</v>
      </c>
      <c r="J91">
        <v>0.66333333333333333</v>
      </c>
      <c r="K91" s="1" t="s">
        <v>182</v>
      </c>
      <c r="L91">
        <v>835940000</v>
      </c>
      <c r="M91">
        <f t="shared" si="1"/>
        <v>222</v>
      </c>
    </row>
    <row r="92" spans="1:13" x14ac:dyDescent="0.35">
      <c r="A92" s="1" t="s">
        <v>751</v>
      </c>
      <c r="B92" s="1" t="s">
        <v>752</v>
      </c>
      <c r="C92">
        <v>4.7000000000000002E-3</v>
      </c>
      <c r="D92">
        <v>7.4999999999999997E-3</v>
      </c>
      <c r="E92">
        <v>5.0000000000000001E-4</v>
      </c>
      <c r="F92">
        <v>5.4999999999999997E-3</v>
      </c>
      <c r="G92">
        <v>26280302</v>
      </c>
      <c r="H92">
        <v>10825738</v>
      </c>
      <c r="I92" s="1" t="s">
        <v>756</v>
      </c>
      <c r="J92">
        <v>0.45</v>
      </c>
      <c r="K92" s="1" t="s">
        <v>182</v>
      </c>
      <c r="L92">
        <v>5530000000</v>
      </c>
      <c r="M92">
        <f t="shared" si="1"/>
        <v>233</v>
      </c>
    </row>
    <row r="93" spans="1:13" x14ac:dyDescent="0.35">
      <c r="A93" s="1" t="s">
        <v>757</v>
      </c>
      <c r="B93" s="1" t="s">
        <v>758</v>
      </c>
      <c r="C93">
        <v>3.3599999999999998E-2</v>
      </c>
      <c r="D93">
        <v>2E-3</v>
      </c>
      <c r="E93">
        <v>2.4E-2</v>
      </c>
      <c r="F93">
        <v>0.48220000000000002</v>
      </c>
      <c r="G93">
        <v>26260308</v>
      </c>
      <c r="H93">
        <v>286759</v>
      </c>
      <c r="I93" s="1" t="s">
        <v>764</v>
      </c>
      <c r="J93">
        <v>16.940000000000001</v>
      </c>
      <c r="K93" s="1" t="s">
        <v>182</v>
      </c>
      <c r="L93">
        <v>782050000</v>
      </c>
      <c r="M93">
        <f t="shared" si="1"/>
        <v>10</v>
      </c>
    </row>
    <row r="94" spans="1:13" x14ac:dyDescent="0.35">
      <c r="A94" s="1" t="s">
        <v>765</v>
      </c>
      <c r="B94" s="1" t="s">
        <v>766</v>
      </c>
      <c r="C94">
        <v>2.81E-2</v>
      </c>
      <c r="D94">
        <v>1.2999999999999999E-2</v>
      </c>
      <c r="E94">
        <v>4.2900000000000001E-2</v>
      </c>
      <c r="F94">
        <v>4.5999999999999999E-2</v>
      </c>
      <c r="G94">
        <v>26243930</v>
      </c>
      <c r="H94">
        <v>4344986</v>
      </c>
      <c r="I94" s="1" t="s">
        <v>773</v>
      </c>
      <c r="J94">
        <v>3.3966666666666669</v>
      </c>
      <c r="K94" s="1" t="s">
        <v>182</v>
      </c>
      <c r="L94">
        <v>935140000</v>
      </c>
      <c r="M94">
        <f t="shared" si="1"/>
        <v>96</v>
      </c>
    </row>
    <row r="95" spans="1:13" x14ac:dyDescent="0.35">
      <c r="A95" s="1" t="s">
        <v>774</v>
      </c>
      <c r="B95" s="1" t="s">
        <v>775</v>
      </c>
      <c r="C95">
        <v>271.94</v>
      </c>
      <c r="D95">
        <v>1.1000000000000001E-3</v>
      </c>
      <c r="E95">
        <v>5.1999999999999998E-3</v>
      </c>
      <c r="F95">
        <v>3.0999999999999999E-3</v>
      </c>
      <c r="G95">
        <v>26108222</v>
      </c>
      <c r="H95">
        <v>6611711</v>
      </c>
      <c r="I95" s="1" t="s">
        <v>779</v>
      </c>
      <c r="J95">
        <v>0.3133333333333333</v>
      </c>
      <c r="K95" s="1" t="s">
        <v>20</v>
      </c>
      <c r="L95">
        <v>96000</v>
      </c>
      <c r="M95">
        <f t="shared" si="1"/>
        <v>241</v>
      </c>
    </row>
    <row r="96" spans="1:13" x14ac:dyDescent="0.35">
      <c r="A96" s="1" t="s">
        <v>780</v>
      </c>
      <c r="B96" s="1" t="s">
        <v>781</v>
      </c>
      <c r="C96">
        <v>104.94</v>
      </c>
      <c r="D96">
        <v>0</v>
      </c>
      <c r="E96">
        <v>3.5999999999999999E-3</v>
      </c>
      <c r="F96">
        <v>1.14E-2</v>
      </c>
      <c r="G96">
        <v>25946613</v>
      </c>
      <c r="H96">
        <v>321</v>
      </c>
      <c r="I96" s="1" t="s">
        <v>786</v>
      </c>
      <c r="J96">
        <v>0.5</v>
      </c>
      <c r="K96" s="1" t="s">
        <v>20</v>
      </c>
      <c r="L96">
        <v>247250</v>
      </c>
      <c r="M96">
        <f t="shared" si="1"/>
        <v>229</v>
      </c>
    </row>
    <row r="97" spans="1:13" x14ac:dyDescent="0.35">
      <c r="A97" s="1" t="s">
        <v>787</v>
      </c>
      <c r="B97" s="1" t="s">
        <v>788</v>
      </c>
      <c r="C97">
        <v>3.3E-3</v>
      </c>
      <c r="D97">
        <v>2.75E-2</v>
      </c>
      <c r="E97">
        <v>3.09E-2</v>
      </c>
      <c r="F97">
        <v>4.0599999999999997E-2</v>
      </c>
      <c r="G97">
        <v>25833421</v>
      </c>
      <c r="H97">
        <v>10960885</v>
      </c>
      <c r="I97" s="1" t="s">
        <v>795</v>
      </c>
      <c r="J97">
        <v>3.2999999999999989</v>
      </c>
      <c r="K97" s="1" t="s">
        <v>182</v>
      </c>
      <c r="L97">
        <v>7800000000</v>
      </c>
      <c r="M97">
        <f t="shared" si="1"/>
        <v>98</v>
      </c>
    </row>
    <row r="98" spans="1:13" x14ac:dyDescent="0.35">
      <c r="A98" s="1" t="s">
        <v>796</v>
      </c>
      <c r="B98" s="1" t="s">
        <v>797</v>
      </c>
      <c r="C98">
        <v>1.61E-2</v>
      </c>
      <c r="D98">
        <v>6.9999999999999999E-4</v>
      </c>
      <c r="E98">
        <v>2.7E-2</v>
      </c>
      <c r="F98">
        <v>6.4600000000000005E-2</v>
      </c>
      <c r="G98">
        <v>25804316</v>
      </c>
      <c r="H98">
        <v>3393372</v>
      </c>
      <c r="I98" s="1" t="s">
        <v>803</v>
      </c>
      <c r="J98">
        <v>3.0766666666666671</v>
      </c>
      <c r="K98" s="1" t="s">
        <v>182</v>
      </c>
      <c r="L98">
        <v>1600000000</v>
      </c>
      <c r="M98">
        <f t="shared" si="1"/>
        <v>103</v>
      </c>
    </row>
    <row r="99" spans="1:13" x14ac:dyDescent="0.35">
      <c r="A99" s="1" t="s">
        <v>804</v>
      </c>
      <c r="B99" s="1" t="s">
        <v>805</v>
      </c>
      <c r="C99">
        <v>2.58E-2</v>
      </c>
      <c r="D99">
        <v>8.9999999999999993E-3</v>
      </c>
      <c r="E99">
        <v>2.1600000000000001E-2</v>
      </c>
      <c r="F99">
        <v>7.9799999999999996E-2</v>
      </c>
      <c r="G99">
        <v>25778254</v>
      </c>
      <c r="H99">
        <v>9720641</v>
      </c>
      <c r="I99" s="1" t="s">
        <v>811</v>
      </c>
      <c r="J99">
        <v>3.68</v>
      </c>
      <c r="K99" s="1" t="s">
        <v>182</v>
      </c>
      <c r="L99">
        <v>999990000</v>
      </c>
      <c r="M99">
        <f t="shared" si="1"/>
        <v>89</v>
      </c>
    </row>
    <row r="100" spans="1:13" x14ac:dyDescent="0.35">
      <c r="A100" s="1" t="s">
        <v>812</v>
      </c>
      <c r="B100" s="1" t="s">
        <v>813</v>
      </c>
      <c r="C100">
        <v>1.34E-2</v>
      </c>
      <c r="D100">
        <v>2.5999999999999999E-3</v>
      </c>
      <c r="E100">
        <v>0.01</v>
      </c>
      <c r="F100">
        <v>4.4000000000000003E-3</v>
      </c>
      <c r="G100">
        <v>25756339</v>
      </c>
      <c r="H100">
        <v>4460612</v>
      </c>
      <c r="I100" s="1" t="s">
        <v>817</v>
      </c>
      <c r="J100">
        <v>0.56666666666666665</v>
      </c>
      <c r="K100" s="1" t="s">
        <v>182</v>
      </c>
      <c r="L100">
        <v>1920000000</v>
      </c>
      <c r="M100">
        <f t="shared" si="1"/>
        <v>228</v>
      </c>
    </row>
    <row r="101" spans="1:13" x14ac:dyDescent="0.35">
      <c r="A101" s="1" t="s">
        <v>818</v>
      </c>
      <c r="B101" s="1" t="s">
        <v>819</v>
      </c>
      <c r="C101">
        <v>0.11609999999999999</v>
      </c>
      <c r="D101">
        <v>5.5999999999999999E-3</v>
      </c>
      <c r="E101">
        <v>1.9300000000000001E-2</v>
      </c>
      <c r="F101">
        <v>1.12E-2</v>
      </c>
      <c r="G101">
        <v>21058075</v>
      </c>
      <c r="H101">
        <v>3159701</v>
      </c>
      <c r="I101" s="1" t="s">
        <v>826</v>
      </c>
      <c r="J101">
        <v>1.2033333333333329</v>
      </c>
      <c r="K101" s="1" t="s">
        <v>77</v>
      </c>
      <c r="L101">
        <v>181340000</v>
      </c>
      <c r="M101">
        <f t="shared" si="1"/>
        <v>184</v>
      </c>
    </row>
    <row r="102" spans="1:13" x14ac:dyDescent="0.35">
      <c r="A102" s="1" t="s">
        <v>827</v>
      </c>
      <c r="B102" s="1" t="s">
        <v>828</v>
      </c>
      <c r="C102">
        <v>6.7500000000000004E-2</v>
      </c>
      <c r="D102">
        <v>1.6199999999999999E-2</v>
      </c>
      <c r="E102">
        <v>9.4999999999999998E-3</v>
      </c>
      <c r="F102">
        <v>6.3399999999999998E-2</v>
      </c>
      <c r="G102">
        <v>20936605</v>
      </c>
      <c r="H102">
        <v>5916397</v>
      </c>
      <c r="I102" s="1" t="s">
        <v>834</v>
      </c>
      <c r="J102">
        <v>2.97</v>
      </c>
      <c r="K102" s="1" t="s">
        <v>77</v>
      </c>
      <c r="L102">
        <v>310270000</v>
      </c>
      <c r="M102">
        <f t="shared" si="1"/>
        <v>105</v>
      </c>
    </row>
    <row r="103" spans="1:13" x14ac:dyDescent="0.35">
      <c r="A103" s="1" t="s">
        <v>835</v>
      </c>
      <c r="B103" s="1" t="s">
        <v>836</v>
      </c>
      <c r="C103">
        <v>2E-3</v>
      </c>
      <c r="D103">
        <v>3.0499999999999999E-2</v>
      </c>
      <c r="E103">
        <v>0.45660000000000001</v>
      </c>
      <c r="F103">
        <v>0.51739999999999997</v>
      </c>
      <c r="G103">
        <v>20846355</v>
      </c>
      <c r="H103">
        <v>8017312</v>
      </c>
      <c r="I103" s="1" t="s">
        <v>842</v>
      </c>
      <c r="J103">
        <v>33.483333333333327</v>
      </c>
      <c r="K103" s="1" t="s">
        <v>182</v>
      </c>
      <c r="L103">
        <v>10180000000</v>
      </c>
      <c r="M103">
        <f t="shared" si="1"/>
        <v>5</v>
      </c>
    </row>
    <row r="104" spans="1:13" x14ac:dyDescent="0.35">
      <c r="A104" s="1" t="s">
        <v>843</v>
      </c>
      <c r="B104" s="1" t="s">
        <v>844</v>
      </c>
      <c r="C104">
        <v>9.2299999999999993E-2</v>
      </c>
      <c r="D104">
        <v>1.7100000000000001E-2</v>
      </c>
      <c r="E104">
        <v>2.8899999999999999E-2</v>
      </c>
      <c r="F104">
        <v>9.6799999999999997E-2</v>
      </c>
      <c r="G104">
        <v>20798023</v>
      </c>
      <c r="H104">
        <v>20776495</v>
      </c>
      <c r="I104" s="1" t="s">
        <v>850</v>
      </c>
      <c r="J104">
        <v>4.76</v>
      </c>
      <c r="K104" s="1" t="s">
        <v>77</v>
      </c>
      <c r="L104">
        <v>225330000</v>
      </c>
      <c r="M104">
        <f t="shared" si="1"/>
        <v>76</v>
      </c>
    </row>
    <row r="105" spans="1:13" x14ac:dyDescent="0.35">
      <c r="A105" s="1" t="s">
        <v>851</v>
      </c>
      <c r="B105" s="1" t="s">
        <v>852</v>
      </c>
      <c r="C105">
        <v>2.0799999999999999E-2</v>
      </c>
      <c r="D105">
        <v>4.8999999999999998E-3</v>
      </c>
      <c r="E105">
        <v>1.9099999999999999E-2</v>
      </c>
      <c r="F105">
        <v>2.1999999999999999E-2</v>
      </c>
      <c r="G105">
        <v>20764179</v>
      </c>
      <c r="H105">
        <v>4700921</v>
      </c>
      <c r="I105" s="1" t="s">
        <v>811</v>
      </c>
      <c r="J105">
        <v>1.533333333333333</v>
      </c>
      <c r="K105" s="1" t="s">
        <v>182</v>
      </c>
      <c r="L105">
        <v>999990000</v>
      </c>
      <c r="M105">
        <f t="shared" si="1"/>
        <v>165</v>
      </c>
    </row>
    <row r="106" spans="1:13" x14ac:dyDescent="0.35">
      <c r="A106" s="1" t="s">
        <v>857</v>
      </c>
      <c r="B106" s="1" t="s">
        <v>858</v>
      </c>
      <c r="C106">
        <v>147.02000000000001</v>
      </c>
      <c r="D106">
        <v>8.9999999999999998E-4</v>
      </c>
      <c r="E106">
        <v>3.3E-3</v>
      </c>
      <c r="F106">
        <v>3.2300000000000002E-2</v>
      </c>
      <c r="G106">
        <v>20731060</v>
      </c>
      <c r="H106">
        <v>971465</v>
      </c>
      <c r="I106" s="1" t="s">
        <v>862</v>
      </c>
      <c r="J106">
        <v>1.216666666666667</v>
      </c>
      <c r="K106" s="1" t="s">
        <v>20</v>
      </c>
      <c r="L106">
        <v>141000</v>
      </c>
      <c r="M106">
        <f t="shared" si="1"/>
        <v>180</v>
      </c>
    </row>
    <row r="107" spans="1:13" x14ac:dyDescent="0.35">
      <c r="A107" s="1" t="s">
        <v>863</v>
      </c>
      <c r="B107" s="1" t="s">
        <v>864</v>
      </c>
      <c r="C107">
        <v>2.5000000000000001E-3</v>
      </c>
      <c r="D107">
        <v>4.8999999999999998E-3</v>
      </c>
      <c r="E107">
        <v>3.0999999999999999E-3</v>
      </c>
      <c r="F107">
        <v>3.8199999999999998E-2</v>
      </c>
      <c r="G107">
        <v>20552882</v>
      </c>
      <c r="H107">
        <v>1003720</v>
      </c>
      <c r="I107" s="1" t="s">
        <v>869</v>
      </c>
      <c r="J107">
        <v>1.54</v>
      </c>
      <c r="K107" s="1" t="s">
        <v>182</v>
      </c>
      <c r="L107">
        <v>8220000000.000001</v>
      </c>
      <c r="M107">
        <f t="shared" si="1"/>
        <v>162</v>
      </c>
    </row>
    <row r="108" spans="1:13" x14ac:dyDescent="0.35">
      <c r="A108" s="1" t="s">
        <v>870</v>
      </c>
      <c r="B108" s="1" t="s">
        <v>871</v>
      </c>
      <c r="C108">
        <v>6.1999999999999998E-3</v>
      </c>
      <c r="D108">
        <v>2.3400000000000001E-2</v>
      </c>
      <c r="E108">
        <v>3.4799999999999998E-2</v>
      </c>
      <c r="F108">
        <v>2.87E-2</v>
      </c>
      <c r="G108">
        <v>20517711</v>
      </c>
      <c r="H108">
        <v>233881</v>
      </c>
      <c r="I108" s="1" t="s">
        <v>878</v>
      </c>
      <c r="J108">
        <v>2.8966666666666669</v>
      </c>
      <c r="K108" s="1" t="s">
        <v>182</v>
      </c>
      <c r="L108">
        <v>3290000000</v>
      </c>
      <c r="M108">
        <f t="shared" si="1"/>
        <v>108</v>
      </c>
    </row>
    <row r="109" spans="1:13" x14ac:dyDescent="0.35">
      <c r="A109" s="1" t="s">
        <v>879</v>
      </c>
      <c r="B109" s="1" t="s">
        <v>880</v>
      </c>
      <c r="C109">
        <v>4.1000000000000002E-2</v>
      </c>
      <c r="D109">
        <v>2.63E-2</v>
      </c>
      <c r="E109">
        <v>3.15E-2</v>
      </c>
      <c r="F109">
        <v>9.3200000000000005E-2</v>
      </c>
      <c r="G109">
        <v>20478225</v>
      </c>
      <c r="H109">
        <v>431784</v>
      </c>
      <c r="I109" s="1" t="s">
        <v>887</v>
      </c>
      <c r="J109">
        <v>5.0333333333333332</v>
      </c>
      <c r="K109" s="1" t="s">
        <v>182</v>
      </c>
      <c r="L109">
        <v>499960000</v>
      </c>
      <c r="M109">
        <f t="shared" si="1"/>
        <v>71</v>
      </c>
    </row>
    <row r="110" spans="1:13" x14ac:dyDescent="0.35">
      <c r="A110" s="1" t="s">
        <v>888</v>
      </c>
      <c r="B110" s="1" t="s">
        <v>889</v>
      </c>
      <c r="C110">
        <v>89.06</v>
      </c>
      <c r="D110">
        <v>0</v>
      </c>
      <c r="E110">
        <v>5.9999999999999995E-4</v>
      </c>
      <c r="F110">
        <v>3.6200000000000003E-2</v>
      </c>
      <c r="G110">
        <v>20456617</v>
      </c>
      <c r="H110">
        <v>306</v>
      </c>
      <c r="I110" s="1" t="s">
        <v>894</v>
      </c>
      <c r="J110">
        <v>1.226666666666667</v>
      </c>
      <c r="K110" s="1" t="s">
        <v>20</v>
      </c>
      <c r="L110">
        <v>229690</v>
      </c>
      <c r="M110">
        <f t="shared" si="1"/>
        <v>179</v>
      </c>
    </row>
    <row r="111" spans="1:13" x14ac:dyDescent="0.35">
      <c r="A111" s="1" t="s">
        <v>895</v>
      </c>
      <c r="B111" s="1" t="s">
        <v>896</v>
      </c>
      <c r="C111">
        <v>1.6899999999999998E-2</v>
      </c>
      <c r="D111">
        <v>0</v>
      </c>
      <c r="E111">
        <v>6.9999999999999999E-4</v>
      </c>
      <c r="F111">
        <v>1.1000000000000001E-3</v>
      </c>
      <c r="G111">
        <v>20328178</v>
      </c>
      <c r="H111">
        <v>6057</v>
      </c>
      <c r="I111" s="1" t="s">
        <v>900</v>
      </c>
      <c r="J111">
        <v>0.06</v>
      </c>
      <c r="K111" s="1" t="s">
        <v>182</v>
      </c>
      <c r="L111">
        <v>1200000000</v>
      </c>
      <c r="M111">
        <f t="shared" si="1"/>
        <v>254</v>
      </c>
    </row>
    <row r="112" spans="1:13" x14ac:dyDescent="0.35">
      <c r="A112" s="1" t="s">
        <v>901</v>
      </c>
      <c r="B112" s="1" t="s">
        <v>902</v>
      </c>
      <c r="C112">
        <v>5.4600000000000003E-2</v>
      </c>
      <c r="D112">
        <v>4.7000000000000002E-3</v>
      </c>
      <c r="E112">
        <v>1.6899999999999998E-2</v>
      </c>
      <c r="F112">
        <v>8.3999999999999995E-3</v>
      </c>
      <c r="G112">
        <v>20291462</v>
      </c>
      <c r="H112">
        <v>4412773</v>
      </c>
      <c r="I112" s="1" t="s">
        <v>907</v>
      </c>
      <c r="J112">
        <v>1</v>
      </c>
      <c r="K112" s="1" t="s">
        <v>77</v>
      </c>
      <c r="L112">
        <v>371280000</v>
      </c>
      <c r="M112">
        <f t="shared" si="1"/>
        <v>201</v>
      </c>
    </row>
    <row r="113" spans="1:13" x14ac:dyDescent="0.35">
      <c r="A113" s="1" t="s">
        <v>908</v>
      </c>
      <c r="B113" s="1" t="s">
        <v>908</v>
      </c>
      <c r="C113">
        <v>2.0199999999999999E-2</v>
      </c>
      <c r="D113">
        <v>2.0000000000000001E-4</v>
      </c>
      <c r="E113">
        <v>1.46E-2</v>
      </c>
      <c r="F113">
        <v>7.5800000000000006E-2</v>
      </c>
      <c r="G113">
        <v>20182033</v>
      </c>
      <c r="H113">
        <v>2122149</v>
      </c>
      <c r="I113" s="1" t="s">
        <v>421</v>
      </c>
      <c r="J113">
        <v>3.02</v>
      </c>
      <c r="K113" s="1" t="s">
        <v>182</v>
      </c>
      <c r="L113">
        <v>1000000000</v>
      </c>
      <c r="M113">
        <f t="shared" si="1"/>
        <v>104</v>
      </c>
    </row>
    <row r="114" spans="1:13" x14ac:dyDescent="0.35">
      <c r="A114" s="1" t="s">
        <v>914</v>
      </c>
      <c r="B114" s="1" t="s">
        <v>915</v>
      </c>
      <c r="C114">
        <v>0.99909999999999999</v>
      </c>
      <c r="D114">
        <v>2.9999999999999997E-4</v>
      </c>
      <c r="E114">
        <v>0</v>
      </c>
      <c r="F114">
        <v>2.9999999999999997E-4</v>
      </c>
      <c r="G114">
        <v>20149882</v>
      </c>
      <c r="H114">
        <v>25146643</v>
      </c>
      <c r="I114" s="1" t="s">
        <v>919</v>
      </c>
      <c r="J114">
        <v>0.02</v>
      </c>
      <c r="K114" s="1" t="s">
        <v>38</v>
      </c>
      <c r="L114">
        <v>20160000</v>
      </c>
      <c r="M114">
        <f t="shared" si="1"/>
        <v>259</v>
      </c>
    </row>
    <row r="115" spans="1:13" x14ac:dyDescent="0.35">
      <c r="A115" s="1" t="s">
        <v>920</v>
      </c>
      <c r="B115" s="1" t="s">
        <v>920</v>
      </c>
      <c r="C115">
        <v>2.01E-2</v>
      </c>
      <c r="D115">
        <v>1E-3</v>
      </c>
      <c r="E115">
        <v>2.24E-2</v>
      </c>
      <c r="F115">
        <v>0.20280000000000001</v>
      </c>
      <c r="G115">
        <v>20106983</v>
      </c>
      <c r="H115">
        <v>10809422</v>
      </c>
      <c r="I115" s="1" t="s">
        <v>926</v>
      </c>
      <c r="J115">
        <v>7.54</v>
      </c>
      <c r="K115" s="1" t="s">
        <v>182</v>
      </c>
      <c r="L115">
        <v>999880000</v>
      </c>
      <c r="M115">
        <f t="shared" si="1"/>
        <v>42</v>
      </c>
    </row>
    <row r="116" spans="1:13" x14ac:dyDescent="0.35">
      <c r="A116" s="1" t="s">
        <v>927</v>
      </c>
      <c r="B116" s="1" t="s">
        <v>928</v>
      </c>
      <c r="C116">
        <v>2.35E-2</v>
      </c>
      <c r="D116">
        <v>2.0999999999999999E-3</v>
      </c>
      <c r="E116">
        <v>4.1000000000000003E-3</v>
      </c>
      <c r="F116">
        <v>7.6E-3</v>
      </c>
      <c r="G116">
        <v>15575230</v>
      </c>
      <c r="H116">
        <v>3014853</v>
      </c>
      <c r="I116" s="1" t="s">
        <v>932</v>
      </c>
      <c r="J116">
        <v>0.46</v>
      </c>
      <c r="K116" s="1" t="s">
        <v>182</v>
      </c>
      <c r="L116">
        <v>662380000</v>
      </c>
      <c r="M116">
        <f t="shared" si="1"/>
        <v>232</v>
      </c>
    </row>
    <row r="117" spans="1:13" x14ac:dyDescent="0.35">
      <c r="A117" s="1" t="s">
        <v>933</v>
      </c>
      <c r="B117" s="1" t="s">
        <v>934</v>
      </c>
      <c r="C117">
        <v>6.9999999999999999E-4</v>
      </c>
      <c r="D117">
        <v>3.8999999999999998E-3</v>
      </c>
      <c r="E117">
        <v>1.12E-2</v>
      </c>
      <c r="F117">
        <v>8.8400000000000006E-2</v>
      </c>
      <c r="G117">
        <v>15539251</v>
      </c>
      <c r="H117">
        <v>1584069</v>
      </c>
      <c r="I117" s="1" t="s">
        <v>939</v>
      </c>
      <c r="J117">
        <v>3.45</v>
      </c>
      <c r="K117" s="1" t="s">
        <v>182</v>
      </c>
      <c r="L117">
        <v>22490000000</v>
      </c>
      <c r="M117">
        <f t="shared" si="1"/>
        <v>94</v>
      </c>
    </row>
    <row r="118" spans="1:13" x14ac:dyDescent="0.35">
      <c r="A118" s="1" t="s">
        <v>940</v>
      </c>
      <c r="B118" s="1" t="s">
        <v>941</v>
      </c>
      <c r="C118">
        <v>1.37E-2</v>
      </c>
      <c r="D118">
        <v>3.5999999999999997E-2</v>
      </c>
      <c r="E118">
        <v>0.2344</v>
      </c>
      <c r="F118">
        <v>0.31640000000000001</v>
      </c>
      <c r="G118">
        <v>15512159</v>
      </c>
      <c r="H118">
        <v>12060249</v>
      </c>
      <c r="I118" s="1" t="s">
        <v>948</v>
      </c>
      <c r="J118">
        <v>19.559999999999999</v>
      </c>
      <c r="K118" s="1" t="s">
        <v>182</v>
      </c>
      <c r="L118">
        <v>1130000000</v>
      </c>
      <c r="M118">
        <f t="shared" si="1"/>
        <v>8</v>
      </c>
    </row>
    <row r="119" spans="1:13" x14ac:dyDescent="0.35">
      <c r="A119" s="1" t="s">
        <v>949</v>
      </c>
      <c r="B119" s="1" t="s">
        <v>949</v>
      </c>
      <c r="C119">
        <v>1.0200000000000001E-2</v>
      </c>
      <c r="D119">
        <v>3.7000000000000002E-3</v>
      </c>
      <c r="E119">
        <v>7.4000000000000003E-3</v>
      </c>
      <c r="F119">
        <v>3.9800000000000002E-2</v>
      </c>
      <c r="G119">
        <v>15439970</v>
      </c>
      <c r="H119">
        <v>6780950</v>
      </c>
      <c r="I119" s="1" t="s">
        <v>954</v>
      </c>
      <c r="J119">
        <v>1.696666666666667</v>
      </c>
      <c r="K119" s="1" t="s">
        <v>182</v>
      </c>
      <c r="L119">
        <v>1510000000</v>
      </c>
      <c r="M119">
        <f t="shared" si="1"/>
        <v>151</v>
      </c>
    </row>
    <row r="120" spans="1:13" x14ac:dyDescent="0.35">
      <c r="A120" s="1" t="s">
        <v>955</v>
      </c>
      <c r="B120" s="1" t="s">
        <v>956</v>
      </c>
      <c r="C120">
        <v>4.1000000000000003E-3</v>
      </c>
      <c r="D120">
        <v>5.8999999999999999E-3</v>
      </c>
      <c r="E120">
        <v>1.4E-3</v>
      </c>
      <c r="F120">
        <v>1.5699999999999999E-2</v>
      </c>
      <c r="G120">
        <v>15422560</v>
      </c>
      <c r="H120">
        <v>808821</v>
      </c>
      <c r="I120" s="1" t="s">
        <v>961</v>
      </c>
      <c r="J120">
        <v>0.76666666666666661</v>
      </c>
      <c r="K120" s="1" t="s">
        <v>182</v>
      </c>
      <c r="L120">
        <v>3800000000</v>
      </c>
      <c r="M120">
        <f t="shared" si="1"/>
        <v>211</v>
      </c>
    </row>
    <row r="121" spans="1:13" x14ac:dyDescent="0.35">
      <c r="A121" s="1" t="s">
        <v>962</v>
      </c>
      <c r="B121" s="1" t="s">
        <v>963</v>
      </c>
      <c r="C121">
        <v>3.5400000000000001E-2</v>
      </c>
      <c r="D121">
        <v>7.4999999999999997E-3</v>
      </c>
      <c r="E121">
        <v>6.1000000000000004E-3</v>
      </c>
      <c r="F121">
        <v>3.2599999999999997E-2</v>
      </c>
      <c r="G121">
        <v>15396273</v>
      </c>
      <c r="H121">
        <v>2802943</v>
      </c>
      <c r="I121" s="1" t="s">
        <v>967</v>
      </c>
      <c r="J121">
        <v>1.54</v>
      </c>
      <c r="K121" s="1" t="s">
        <v>182</v>
      </c>
      <c r="L121">
        <v>434320000</v>
      </c>
      <c r="M121">
        <f t="shared" si="1"/>
        <v>162</v>
      </c>
    </row>
    <row r="122" spans="1:13" x14ac:dyDescent="0.35">
      <c r="A122" s="1" t="s">
        <v>968</v>
      </c>
      <c r="B122" s="1" t="s">
        <v>969</v>
      </c>
      <c r="C122">
        <v>0.15390000000000001</v>
      </c>
      <c r="D122">
        <v>2.0000000000000001E-4</v>
      </c>
      <c r="E122">
        <v>3.2399999999999998E-2</v>
      </c>
      <c r="F122">
        <v>3.2599999999999997E-2</v>
      </c>
      <c r="G122">
        <v>15395832</v>
      </c>
      <c r="H122">
        <v>119</v>
      </c>
      <c r="I122" s="1" t="s">
        <v>633</v>
      </c>
      <c r="J122">
        <v>2.1733333333333329</v>
      </c>
      <c r="K122" s="1" t="s">
        <v>77</v>
      </c>
      <c r="L122">
        <v>100000000</v>
      </c>
      <c r="M122">
        <f t="shared" si="1"/>
        <v>131</v>
      </c>
    </row>
    <row r="123" spans="1:13" x14ac:dyDescent="0.35">
      <c r="A123" s="1" t="s">
        <v>973</v>
      </c>
      <c r="B123" s="1" t="s">
        <v>974</v>
      </c>
      <c r="C123">
        <v>6.3600000000000004E-2</v>
      </c>
      <c r="D123">
        <v>1E-4</v>
      </c>
      <c r="E123">
        <v>3.3799999999999997E-2</v>
      </c>
      <c r="F123">
        <v>4.0899999999999999E-2</v>
      </c>
      <c r="G123">
        <v>15356872</v>
      </c>
      <c r="H123">
        <v>88670</v>
      </c>
      <c r="I123" s="1" t="s">
        <v>980</v>
      </c>
      <c r="J123">
        <v>2.4933333333333332</v>
      </c>
      <c r="K123" s="1" t="s">
        <v>77</v>
      </c>
      <c r="L123">
        <v>241340000</v>
      </c>
      <c r="M123">
        <f t="shared" si="1"/>
        <v>124</v>
      </c>
    </row>
    <row r="124" spans="1:13" x14ac:dyDescent="0.35">
      <c r="A124" s="1" t="s">
        <v>981</v>
      </c>
      <c r="B124" s="1" t="s">
        <v>982</v>
      </c>
      <c r="C124">
        <v>3.26</v>
      </c>
      <c r="D124">
        <v>4.0000000000000002E-4</v>
      </c>
      <c r="E124">
        <v>2.0999999999999999E-3</v>
      </c>
      <c r="F124">
        <v>7.7000000000000002E-3</v>
      </c>
      <c r="G124">
        <v>15345684</v>
      </c>
      <c r="H124">
        <v>34281</v>
      </c>
      <c r="I124" s="1" t="s">
        <v>986</v>
      </c>
      <c r="J124">
        <v>0.34</v>
      </c>
      <c r="K124" s="1" t="s">
        <v>38</v>
      </c>
      <c r="L124">
        <v>4700000</v>
      </c>
      <c r="M124">
        <f t="shared" si="1"/>
        <v>238</v>
      </c>
    </row>
    <row r="125" spans="1:13" x14ac:dyDescent="0.35">
      <c r="A125" s="1" t="s">
        <v>987</v>
      </c>
      <c r="B125" s="1" t="s">
        <v>988</v>
      </c>
      <c r="C125">
        <v>3.81</v>
      </c>
      <c r="D125">
        <v>1.5E-3</v>
      </c>
      <c r="E125">
        <v>1.3100000000000001E-2</v>
      </c>
      <c r="F125">
        <v>3.5000000000000003E-2</v>
      </c>
      <c r="G125">
        <v>15293248</v>
      </c>
      <c r="H125">
        <v>3932877</v>
      </c>
      <c r="I125" s="1" t="s">
        <v>993</v>
      </c>
      <c r="J125">
        <v>1.6533333333333331</v>
      </c>
      <c r="K125" s="1" t="s">
        <v>38</v>
      </c>
      <c r="L125">
        <v>4000000</v>
      </c>
      <c r="M125">
        <f t="shared" si="1"/>
        <v>155</v>
      </c>
    </row>
    <row r="126" spans="1:13" x14ac:dyDescent="0.35">
      <c r="A126" s="1" t="s">
        <v>994</v>
      </c>
      <c r="B126" s="1" t="s">
        <v>995</v>
      </c>
      <c r="C126">
        <v>0.82499999999999996</v>
      </c>
      <c r="D126">
        <v>1.9E-3</v>
      </c>
      <c r="E126">
        <v>7.6100000000000001E-2</v>
      </c>
      <c r="F126">
        <v>5.4000000000000003E-3</v>
      </c>
      <c r="G126">
        <v>15289686</v>
      </c>
      <c r="H126">
        <v>456715</v>
      </c>
      <c r="I126" s="1" t="s">
        <v>1001</v>
      </c>
      <c r="J126">
        <v>2.78</v>
      </c>
      <c r="K126" s="1" t="s">
        <v>38</v>
      </c>
      <c r="L126">
        <v>18530000</v>
      </c>
      <c r="M126">
        <f t="shared" si="1"/>
        <v>114</v>
      </c>
    </row>
    <row r="127" spans="1:13" x14ac:dyDescent="0.35">
      <c r="A127" s="1" t="s">
        <v>1002</v>
      </c>
      <c r="B127" s="1" t="s">
        <v>1003</v>
      </c>
      <c r="C127">
        <v>1.5299999999999999E-2</v>
      </c>
      <c r="D127">
        <v>7.6E-3</v>
      </c>
      <c r="E127">
        <v>1.4999999999999999E-2</v>
      </c>
      <c r="F127">
        <v>0.2054</v>
      </c>
      <c r="G127">
        <v>15283025</v>
      </c>
      <c r="H127">
        <v>4735102</v>
      </c>
      <c r="I127" s="1" t="s">
        <v>811</v>
      </c>
      <c r="J127">
        <v>7.5999999999999988</v>
      </c>
      <c r="K127" s="1" t="s">
        <v>182</v>
      </c>
      <c r="L127">
        <v>999990000</v>
      </c>
      <c r="M127">
        <f t="shared" si="1"/>
        <v>40</v>
      </c>
    </row>
    <row r="128" spans="1:13" x14ac:dyDescent="0.35">
      <c r="A128" s="1" t="s">
        <v>1008</v>
      </c>
      <c r="B128" s="1" t="s">
        <v>1009</v>
      </c>
      <c r="C128">
        <v>2.7400000000000001E-2</v>
      </c>
      <c r="D128">
        <v>4.1999999999999997E-3</v>
      </c>
      <c r="E128">
        <v>7.6E-3</v>
      </c>
      <c r="F128">
        <v>2.1600000000000001E-2</v>
      </c>
      <c r="G128">
        <v>15217745</v>
      </c>
      <c r="H128">
        <v>1857483</v>
      </c>
      <c r="I128" s="1" t="s">
        <v>1013</v>
      </c>
      <c r="J128">
        <v>1.1133333333333331</v>
      </c>
      <c r="K128" s="1" t="s">
        <v>182</v>
      </c>
      <c r="L128">
        <v>555540000</v>
      </c>
      <c r="M128">
        <f t="shared" si="1"/>
        <v>191</v>
      </c>
    </row>
    <row r="129" spans="1:13" x14ac:dyDescent="0.35">
      <c r="A129" s="1" t="s">
        <v>1014</v>
      </c>
      <c r="B129" s="1" t="s">
        <v>1014</v>
      </c>
      <c r="C129">
        <v>3.4200000000000001E-2</v>
      </c>
      <c r="D129">
        <v>6.9999999999999999E-4</v>
      </c>
      <c r="E129">
        <v>4.7000000000000002E-3</v>
      </c>
      <c r="F129">
        <v>4.7999999999999996E-3</v>
      </c>
      <c r="G129">
        <v>15171135</v>
      </c>
      <c r="H129">
        <v>90422</v>
      </c>
      <c r="I129" s="1" t="s">
        <v>1018</v>
      </c>
      <c r="J129">
        <v>0.34</v>
      </c>
      <c r="K129" s="1" t="s">
        <v>182</v>
      </c>
      <c r="L129">
        <v>443130000</v>
      </c>
      <c r="M129">
        <f t="shared" si="1"/>
        <v>238</v>
      </c>
    </row>
    <row r="130" spans="1:13" x14ac:dyDescent="0.35">
      <c r="A130" s="1" t="s">
        <v>1019</v>
      </c>
      <c r="B130" s="1" t="s">
        <v>1020</v>
      </c>
      <c r="C130">
        <v>0.10879999999999999</v>
      </c>
      <c r="D130">
        <v>2.1299999999999999E-2</v>
      </c>
      <c r="E130">
        <v>0.14660000000000001</v>
      </c>
      <c r="F130">
        <v>0.74350000000000005</v>
      </c>
      <c r="G130">
        <v>15148774</v>
      </c>
      <c r="H130">
        <v>6877810</v>
      </c>
      <c r="I130" s="1" t="s">
        <v>1027</v>
      </c>
      <c r="J130">
        <v>30.38</v>
      </c>
      <c r="K130" s="1" t="s">
        <v>77</v>
      </c>
      <c r="L130">
        <v>139220000</v>
      </c>
      <c r="M130">
        <f t="shared" ref="M130:M193" si="2">IFERROR(RANK(J130,$J$2:$J$5000,0),"")</f>
        <v>6</v>
      </c>
    </row>
    <row r="131" spans="1:13" x14ac:dyDescent="0.35">
      <c r="A131" s="1" t="s">
        <v>1028</v>
      </c>
      <c r="B131" s="1" t="s">
        <v>1029</v>
      </c>
      <c r="C131">
        <v>1.6299999999999999E-2</v>
      </c>
      <c r="D131">
        <v>4.99E-2</v>
      </c>
      <c r="E131">
        <v>0.19120000000000001</v>
      </c>
      <c r="F131">
        <v>0.1023</v>
      </c>
      <c r="G131">
        <v>11606060</v>
      </c>
      <c r="H131">
        <v>64934446</v>
      </c>
      <c r="I131" s="1" t="s">
        <v>1036</v>
      </c>
      <c r="J131">
        <v>11.446666666666671</v>
      </c>
      <c r="K131" s="1" t="s">
        <v>182</v>
      </c>
      <c r="L131">
        <v>710600000</v>
      </c>
      <c r="M131">
        <f t="shared" si="2"/>
        <v>25</v>
      </c>
    </row>
    <row r="132" spans="1:13" x14ac:dyDescent="0.35">
      <c r="A132" s="1" t="s">
        <v>1037</v>
      </c>
      <c r="B132" s="1" t="s">
        <v>1038</v>
      </c>
      <c r="C132">
        <v>1.6000000000000001E-3</v>
      </c>
      <c r="D132">
        <v>2.8999999999999998E-3</v>
      </c>
      <c r="E132">
        <v>2.8500000000000001E-2</v>
      </c>
      <c r="F132">
        <v>3.0499999999999999E-2</v>
      </c>
      <c r="G132">
        <v>11565244</v>
      </c>
      <c r="H132">
        <v>653863</v>
      </c>
      <c r="I132" s="1" t="s">
        <v>1044</v>
      </c>
      <c r="J132">
        <v>2.063333333333333</v>
      </c>
      <c r="K132" s="1" t="s">
        <v>182</v>
      </c>
      <c r="L132">
        <v>7200000000</v>
      </c>
      <c r="M132">
        <f t="shared" si="2"/>
        <v>136</v>
      </c>
    </row>
    <row r="133" spans="1:13" x14ac:dyDescent="0.35">
      <c r="A133" s="1" t="s">
        <v>1045</v>
      </c>
      <c r="B133" s="1" t="s">
        <v>1046</v>
      </c>
      <c r="C133">
        <v>0.99839999999999995</v>
      </c>
      <c r="D133">
        <v>0</v>
      </c>
      <c r="E133">
        <v>2.9999999999999997E-4</v>
      </c>
      <c r="F133">
        <v>2.0000000000000001E-4</v>
      </c>
      <c r="G133">
        <v>11544749</v>
      </c>
      <c r="H133">
        <v>229284</v>
      </c>
      <c r="I133" s="1" t="s">
        <v>1050</v>
      </c>
      <c r="J133">
        <v>1.666666666666667E-2</v>
      </c>
      <c r="K133" s="1" t="s">
        <v>38</v>
      </c>
      <c r="L133">
        <v>11560000</v>
      </c>
      <c r="M133">
        <f t="shared" si="2"/>
        <v>260</v>
      </c>
    </row>
    <row r="134" spans="1:13" x14ac:dyDescent="0.35">
      <c r="A134" s="1" t="s">
        <v>1051</v>
      </c>
      <c r="B134" s="1" t="s">
        <v>1052</v>
      </c>
      <c r="C134">
        <v>3.0300000000000001E-2</v>
      </c>
      <c r="D134">
        <v>2.8E-3</v>
      </c>
      <c r="E134">
        <v>1.21E-2</v>
      </c>
      <c r="F134">
        <v>1.77E-2</v>
      </c>
      <c r="G134">
        <v>11542476</v>
      </c>
      <c r="H134">
        <v>7416063</v>
      </c>
      <c r="I134" s="1" t="s">
        <v>1058</v>
      </c>
      <c r="J134">
        <v>1.0866666666666669</v>
      </c>
      <c r="K134" s="1" t="s">
        <v>182</v>
      </c>
      <c r="L134">
        <v>381030000</v>
      </c>
      <c r="M134">
        <f t="shared" si="2"/>
        <v>194</v>
      </c>
    </row>
    <row r="135" spans="1:13" x14ac:dyDescent="0.35">
      <c r="A135" s="1" t="s">
        <v>1064</v>
      </c>
      <c r="B135" s="1" t="s">
        <v>1065</v>
      </c>
      <c r="C135">
        <v>1.32</v>
      </c>
      <c r="D135">
        <v>1E-3</v>
      </c>
      <c r="E135">
        <v>1.24E-2</v>
      </c>
      <c r="F135">
        <v>5.7099999999999998E-2</v>
      </c>
      <c r="G135">
        <v>11448567</v>
      </c>
      <c r="H135">
        <v>145406</v>
      </c>
      <c r="I135" s="1" t="s">
        <v>1070</v>
      </c>
      <c r="J135">
        <v>2.35</v>
      </c>
      <c r="K135" s="1" t="s">
        <v>38</v>
      </c>
      <c r="L135">
        <v>8610000</v>
      </c>
      <c r="M135">
        <f t="shared" si="2"/>
        <v>127</v>
      </c>
    </row>
    <row r="136" spans="1:13" x14ac:dyDescent="0.35">
      <c r="A136" s="1" t="s">
        <v>1071</v>
      </c>
      <c r="B136" s="1" t="s">
        <v>1072</v>
      </c>
      <c r="C136">
        <v>1.23E-2</v>
      </c>
      <c r="D136">
        <v>3.2000000000000002E-3</v>
      </c>
      <c r="E136">
        <v>5.1000000000000004E-3</v>
      </c>
      <c r="F136">
        <v>1.84E-2</v>
      </c>
      <c r="G136">
        <v>11419144</v>
      </c>
      <c r="H136">
        <v>62158</v>
      </c>
      <c r="I136" s="1" t="s">
        <v>1078</v>
      </c>
      <c r="J136">
        <v>0.89</v>
      </c>
      <c r="K136" s="1" t="s">
        <v>182</v>
      </c>
      <c r="L136">
        <v>930470000</v>
      </c>
      <c r="M136">
        <f t="shared" si="2"/>
        <v>206</v>
      </c>
    </row>
    <row r="137" spans="1:13" x14ac:dyDescent="0.35">
      <c r="A137" s="1" t="s">
        <v>1079</v>
      </c>
      <c r="B137" s="1" t="s">
        <v>1080</v>
      </c>
      <c r="C137">
        <v>1.14E-2</v>
      </c>
      <c r="D137">
        <v>5.7999999999999996E-3</v>
      </c>
      <c r="E137">
        <v>1.9400000000000001E-2</v>
      </c>
      <c r="F137">
        <v>0.1183</v>
      </c>
      <c r="G137">
        <v>11412102</v>
      </c>
      <c r="H137">
        <v>4874824</v>
      </c>
      <c r="I137" s="1" t="s">
        <v>1085</v>
      </c>
      <c r="J137">
        <v>4.7833333333333332</v>
      </c>
      <c r="K137" s="1" t="s">
        <v>182</v>
      </c>
      <c r="L137">
        <v>999940000</v>
      </c>
      <c r="M137">
        <f t="shared" si="2"/>
        <v>75</v>
      </c>
    </row>
    <row r="138" spans="1:13" x14ac:dyDescent="0.35">
      <c r="A138" s="1" t="s">
        <v>1086</v>
      </c>
      <c r="B138" s="1" t="s">
        <v>1087</v>
      </c>
      <c r="C138">
        <v>0.75660000000000005</v>
      </c>
      <c r="D138">
        <v>1.4999999999999999E-2</v>
      </c>
      <c r="E138">
        <v>3.1699999999999999E-2</v>
      </c>
      <c r="F138">
        <v>9.3399999999999997E-2</v>
      </c>
      <c r="G138">
        <v>11410607</v>
      </c>
      <c r="H138">
        <v>2711114</v>
      </c>
      <c r="I138" s="1" t="s">
        <v>1092</v>
      </c>
      <c r="J138">
        <v>4.67</v>
      </c>
      <c r="K138" s="1" t="s">
        <v>38</v>
      </c>
      <c r="L138">
        <v>15070000</v>
      </c>
      <c r="M138">
        <f t="shared" si="2"/>
        <v>77</v>
      </c>
    </row>
    <row r="139" spans="1:13" x14ac:dyDescent="0.35">
      <c r="A139" s="1" t="s">
        <v>1093</v>
      </c>
      <c r="B139" s="1" t="s">
        <v>1094</v>
      </c>
      <c r="C139">
        <v>5.8999999999999999E-3</v>
      </c>
      <c r="D139">
        <v>4.1000000000000003E-3</v>
      </c>
      <c r="E139">
        <v>3.6900000000000002E-2</v>
      </c>
      <c r="F139">
        <v>5.1999999999999998E-3</v>
      </c>
      <c r="G139">
        <v>11379970</v>
      </c>
      <c r="H139">
        <v>2750712</v>
      </c>
      <c r="I139" s="1" t="s">
        <v>1099</v>
      </c>
      <c r="J139">
        <v>1.54</v>
      </c>
      <c r="K139" s="1" t="s">
        <v>182</v>
      </c>
      <c r="L139">
        <v>1940000000</v>
      </c>
      <c r="M139">
        <f t="shared" si="2"/>
        <v>162</v>
      </c>
    </row>
    <row r="140" spans="1:13" x14ac:dyDescent="0.35">
      <c r="A140" s="1" t="s">
        <v>1100</v>
      </c>
      <c r="B140" s="1" t="s">
        <v>1101</v>
      </c>
      <c r="C140">
        <v>5.3199999999999997E-2</v>
      </c>
      <c r="D140">
        <v>8.2000000000000007E-3</v>
      </c>
      <c r="E140">
        <v>1.0999999999999999E-2</v>
      </c>
      <c r="F140">
        <v>0</v>
      </c>
      <c r="G140">
        <v>11334127</v>
      </c>
      <c r="H140">
        <v>2079172</v>
      </c>
      <c r="I140" s="1" t="s">
        <v>1106</v>
      </c>
      <c r="J140">
        <v>0.64</v>
      </c>
      <c r="K140" s="1" t="s">
        <v>77</v>
      </c>
      <c r="L140">
        <v>213230000</v>
      </c>
      <c r="M140">
        <f t="shared" si="2"/>
        <v>224</v>
      </c>
    </row>
    <row r="141" spans="1:13" x14ac:dyDescent="0.35">
      <c r="A141" s="1" t="s">
        <v>1107</v>
      </c>
      <c r="B141" s="1" t="s">
        <v>1108</v>
      </c>
      <c r="C141">
        <v>1E-4</v>
      </c>
      <c r="D141">
        <v>1.11E-2</v>
      </c>
      <c r="E141">
        <v>2.1999999999999999E-2</v>
      </c>
      <c r="F141">
        <v>8.4500000000000006E-2</v>
      </c>
      <c r="G141">
        <v>11320242</v>
      </c>
      <c r="H141">
        <v>71290</v>
      </c>
      <c r="I141" s="1" t="s">
        <v>1114</v>
      </c>
      <c r="J141">
        <v>3.92</v>
      </c>
      <c r="K141" s="1" t="s">
        <v>182</v>
      </c>
      <c r="L141">
        <v>89280000000</v>
      </c>
      <c r="M141">
        <f t="shared" si="2"/>
        <v>87</v>
      </c>
    </row>
    <row r="142" spans="1:13" x14ac:dyDescent="0.35">
      <c r="A142" s="1" t="s">
        <v>1115</v>
      </c>
      <c r="B142" s="1" t="s">
        <v>1116</v>
      </c>
      <c r="C142">
        <v>1.2999999999999999E-3</v>
      </c>
      <c r="D142">
        <v>2.9999999999999997E-4</v>
      </c>
      <c r="E142">
        <v>2E-3</v>
      </c>
      <c r="F142">
        <v>3.3999999999999998E-3</v>
      </c>
      <c r="G142">
        <v>9128152</v>
      </c>
      <c r="H142">
        <v>2789288</v>
      </c>
      <c r="I142" s="1" t="s">
        <v>1121</v>
      </c>
      <c r="J142">
        <v>0.19</v>
      </c>
      <c r="K142" s="1" t="s">
        <v>182</v>
      </c>
      <c r="L142">
        <v>6880000000</v>
      </c>
      <c r="M142">
        <f t="shared" si="2"/>
        <v>246</v>
      </c>
    </row>
    <row r="143" spans="1:13" x14ac:dyDescent="0.35">
      <c r="A143" s="1" t="s">
        <v>1122</v>
      </c>
      <c r="B143" s="1" t="s">
        <v>1123</v>
      </c>
      <c r="C143">
        <v>3.73E-2</v>
      </c>
      <c r="D143">
        <v>1.0800000000000001E-2</v>
      </c>
      <c r="E143">
        <v>2.35E-2</v>
      </c>
      <c r="F143">
        <v>0.1154</v>
      </c>
      <c r="G143">
        <v>9123978</v>
      </c>
      <c r="H143">
        <v>4544168</v>
      </c>
      <c r="I143" s="1" t="s">
        <v>1129</v>
      </c>
      <c r="J143">
        <v>4.9899999999999993</v>
      </c>
      <c r="K143" s="1" t="s">
        <v>182</v>
      </c>
      <c r="L143">
        <v>244630000</v>
      </c>
      <c r="M143">
        <f t="shared" si="2"/>
        <v>72</v>
      </c>
    </row>
    <row r="144" spans="1:13" x14ac:dyDescent="0.35">
      <c r="A144" s="1" t="s">
        <v>1130</v>
      </c>
      <c r="B144" s="1" t="s">
        <v>1131</v>
      </c>
      <c r="C144">
        <v>1.15E-2</v>
      </c>
      <c r="D144">
        <v>2E-3</v>
      </c>
      <c r="E144">
        <v>7.0000000000000001E-3</v>
      </c>
      <c r="F144">
        <v>1.1000000000000001E-3</v>
      </c>
      <c r="G144">
        <v>9104961</v>
      </c>
      <c r="H144">
        <v>7979869</v>
      </c>
      <c r="I144" s="1" t="s">
        <v>1136</v>
      </c>
      <c r="J144">
        <v>0.33666666666666673</v>
      </c>
      <c r="K144" s="1" t="s">
        <v>182</v>
      </c>
      <c r="L144">
        <v>790420000</v>
      </c>
      <c r="M144">
        <f t="shared" si="2"/>
        <v>240</v>
      </c>
    </row>
    <row r="145" spans="1:13" x14ac:dyDescent="0.35">
      <c r="A145" s="1" t="s">
        <v>1137</v>
      </c>
      <c r="B145" s="1" t="s">
        <v>1138</v>
      </c>
      <c r="C145">
        <v>0.51870000000000005</v>
      </c>
      <c r="D145">
        <v>1E-4</v>
      </c>
      <c r="E145">
        <v>1.5E-3</v>
      </c>
      <c r="F145">
        <v>5.4300000000000001E-2</v>
      </c>
      <c r="G145">
        <v>9085366</v>
      </c>
      <c r="H145">
        <v>1119</v>
      </c>
      <c r="I145" s="1" t="s">
        <v>1143</v>
      </c>
      <c r="J145">
        <v>1.8633333333333331</v>
      </c>
      <c r="K145" s="1" t="s">
        <v>38</v>
      </c>
      <c r="L145">
        <v>17510000</v>
      </c>
      <c r="M145">
        <f t="shared" si="2"/>
        <v>146</v>
      </c>
    </row>
    <row r="146" spans="1:13" x14ac:dyDescent="0.35">
      <c r="A146" s="1" t="s">
        <v>1144</v>
      </c>
      <c r="B146" s="1" t="s">
        <v>1145</v>
      </c>
      <c r="C146">
        <v>2.3900000000000001E-2</v>
      </c>
      <c r="D146">
        <v>7.7999999999999996E-3</v>
      </c>
      <c r="E146">
        <v>2.6700000000000002E-2</v>
      </c>
      <c r="F146">
        <v>0.36880000000000002</v>
      </c>
      <c r="G146">
        <v>8983218</v>
      </c>
      <c r="H146">
        <v>10177863</v>
      </c>
      <c r="I146" s="1" t="s">
        <v>1150</v>
      </c>
      <c r="J146">
        <v>13.44333333333334</v>
      </c>
      <c r="K146" s="1" t="s">
        <v>182</v>
      </c>
      <c r="L146">
        <v>376020000</v>
      </c>
      <c r="M146">
        <f t="shared" si="2"/>
        <v>19</v>
      </c>
    </row>
    <row r="147" spans="1:13" x14ac:dyDescent="0.35">
      <c r="A147" s="1" t="s">
        <v>1151</v>
      </c>
      <c r="B147" s="1" t="s">
        <v>1152</v>
      </c>
      <c r="C147">
        <v>8.3799999999999999E-2</v>
      </c>
      <c r="D147">
        <v>8.0000000000000004E-4</v>
      </c>
      <c r="E147">
        <v>2.35E-2</v>
      </c>
      <c r="F147">
        <v>0.12</v>
      </c>
      <c r="G147">
        <v>8968173</v>
      </c>
      <c r="H147">
        <v>113077</v>
      </c>
      <c r="I147" s="1" t="s">
        <v>1157</v>
      </c>
      <c r="J147">
        <v>4.8099999999999996</v>
      </c>
      <c r="K147" s="1" t="s">
        <v>77</v>
      </c>
      <c r="L147">
        <v>107050000</v>
      </c>
      <c r="M147">
        <f t="shared" si="2"/>
        <v>74</v>
      </c>
    </row>
    <row r="148" spans="1:13" x14ac:dyDescent="0.35">
      <c r="A148" s="1" t="s">
        <v>1158</v>
      </c>
      <c r="B148" s="1" t="s">
        <v>1159</v>
      </c>
      <c r="C148">
        <v>6.13E-2</v>
      </c>
      <c r="D148">
        <v>3.44E-2</v>
      </c>
      <c r="E148">
        <v>0.25280000000000002</v>
      </c>
      <c r="F148">
        <v>5.7500000000000002E-2</v>
      </c>
      <c r="G148">
        <v>8938885</v>
      </c>
      <c r="H148">
        <v>480521</v>
      </c>
      <c r="I148" s="1" t="s">
        <v>1166</v>
      </c>
      <c r="J148">
        <v>11.49</v>
      </c>
      <c r="K148" s="1" t="s">
        <v>77</v>
      </c>
      <c r="L148">
        <v>145800000</v>
      </c>
      <c r="M148">
        <f t="shared" si="2"/>
        <v>23</v>
      </c>
    </row>
    <row r="149" spans="1:13" x14ac:dyDescent="0.35">
      <c r="A149" s="1" t="s">
        <v>1167</v>
      </c>
      <c r="B149" s="1" t="s">
        <v>1168</v>
      </c>
      <c r="C149">
        <v>1.2E-2</v>
      </c>
      <c r="D149">
        <v>1.12E-2</v>
      </c>
      <c r="E149">
        <v>2.0500000000000001E-2</v>
      </c>
      <c r="F149">
        <v>0.313</v>
      </c>
      <c r="G149">
        <v>8933436</v>
      </c>
      <c r="H149">
        <v>6615837</v>
      </c>
      <c r="I149" s="1" t="s">
        <v>1174</v>
      </c>
      <c r="J149">
        <v>11.49</v>
      </c>
      <c r="K149" s="1" t="s">
        <v>182</v>
      </c>
      <c r="L149">
        <v>743510000</v>
      </c>
      <c r="M149">
        <f t="shared" si="2"/>
        <v>23</v>
      </c>
    </row>
    <row r="150" spans="1:13" x14ac:dyDescent="0.35">
      <c r="A150" s="1" t="s">
        <v>1175</v>
      </c>
      <c r="B150" s="1" t="s">
        <v>1176</v>
      </c>
      <c r="C150">
        <v>1.55E-2</v>
      </c>
      <c r="D150">
        <v>7.9000000000000008E-3</v>
      </c>
      <c r="E150">
        <v>1.9E-2</v>
      </c>
      <c r="F150">
        <v>6.9900000000000004E-2</v>
      </c>
      <c r="G150">
        <v>8927644</v>
      </c>
      <c r="H150">
        <v>6365302</v>
      </c>
      <c r="I150" s="1" t="s">
        <v>1183</v>
      </c>
      <c r="J150">
        <v>3.226666666666667</v>
      </c>
      <c r="K150" s="1" t="s">
        <v>182</v>
      </c>
      <c r="L150">
        <v>576130000</v>
      </c>
      <c r="M150">
        <f t="shared" si="2"/>
        <v>99</v>
      </c>
    </row>
    <row r="151" spans="1:13" x14ac:dyDescent="0.35">
      <c r="A151" s="1" t="s">
        <v>1184</v>
      </c>
      <c r="B151" s="1" t="s">
        <v>1185</v>
      </c>
      <c r="C151">
        <v>1.8E-3</v>
      </c>
      <c r="D151">
        <v>4.7000000000000002E-3</v>
      </c>
      <c r="E151">
        <v>4.5999999999999999E-3</v>
      </c>
      <c r="F151">
        <v>1.9599999999999999E-2</v>
      </c>
      <c r="G151">
        <v>8876870</v>
      </c>
      <c r="H151">
        <v>745887</v>
      </c>
      <c r="I151" s="1" t="s">
        <v>1190</v>
      </c>
      <c r="J151">
        <v>0.96333333333333326</v>
      </c>
      <c r="K151" s="1" t="s">
        <v>182</v>
      </c>
      <c r="L151">
        <v>4810000000</v>
      </c>
      <c r="M151">
        <f t="shared" si="2"/>
        <v>203</v>
      </c>
    </row>
    <row r="152" spans="1:13" x14ac:dyDescent="0.35">
      <c r="A152" s="1" t="s">
        <v>1191</v>
      </c>
      <c r="B152" s="1" t="s">
        <v>1192</v>
      </c>
      <c r="C152">
        <v>11.42</v>
      </c>
      <c r="D152">
        <v>1.4E-3</v>
      </c>
      <c r="E152">
        <v>9.7999999999999997E-3</v>
      </c>
      <c r="F152">
        <v>2.9100000000000001E-2</v>
      </c>
      <c r="G152">
        <v>8833591</v>
      </c>
      <c r="H152">
        <v>3418</v>
      </c>
      <c r="I152" s="1" t="s">
        <v>1198</v>
      </c>
      <c r="J152">
        <v>1.343333333333333</v>
      </c>
      <c r="K152" s="1" t="s">
        <v>96</v>
      </c>
      <c r="L152">
        <v>772890</v>
      </c>
      <c r="M152">
        <f t="shared" si="2"/>
        <v>170</v>
      </c>
    </row>
    <row r="153" spans="1:13" x14ac:dyDescent="0.35">
      <c r="A153" s="1" t="s">
        <v>1199</v>
      </c>
      <c r="B153" s="1" t="s">
        <v>1200</v>
      </c>
      <c r="C153">
        <v>0.2898</v>
      </c>
      <c r="D153">
        <v>2E-3</v>
      </c>
      <c r="E153">
        <v>4.5999999999999999E-3</v>
      </c>
      <c r="F153">
        <v>1.0500000000000001E-2</v>
      </c>
      <c r="G153">
        <v>8749697</v>
      </c>
      <c r="H153">
        <v>337</v>
      </c>
      <c r="I153" s="1" t="s">
        <v>1205</v>
      </c>
      <c r="J153">
        <v>0.56999999999999995</v>
      </c>
      <c r="K153" s="1" t="s">
        <v>77</v>
      </c>
      <c r="L153">
        <v>30180000</v>
      </c>
      <c r="M153">
        <f t="shared" si="2"/>
        <v>227</v>
      </c>
    </row>
    <row r="154" spans="1:13" x14ac:dyDescent="0.35">
      <c r="A154" s="1" t="s">
        <v>1206</v>
      </c>
      <c r="B154" s="1" t="s">
        <v>1207</v>
      </c>
      <c r="C154">
        <v>0.13880000000000001</v>
      </c>
      <c r="D154">
        <v>5.9999999999999995E-4</v>
      </c>
      <c r="E154">
        <v>1.9E-3</v>
      </c>
      <c r="F154">
        <v>6.7400000000000002E-2</v>
      </c>
      <c r="G154">
        <v>8740202</v>
      </c>
      <c r="H154">
        <v>182739</v>
      </c>
      <c r="I154" s="1" t="s">
        <v>1212</v>
      </c>
      <c r="J154">
        <v>2.33</v>
      </c>
      <c r="K154" s="1" t="s">
        <v>77</v>
      </c>
      <c r="L154">
        <v>62950000</v>
      </c>
      <c r="M154">
        <f t="shared" si="2"/>
        <v>128</v>
      </c>
    </row>
    <row r="155" spans="1:13" x14ac:dyDescent="0.35">
      <c r="A155" s="1" t="s">
        <v>1213</v>
      </c>
      <c r="B155" s="1" t="s">
        <v>1214</v>
      </c>
      <c r="C155">
        <v>3.0000000000000001E-3</v>
      </c>
      <c r="D155">
        <v>9.4000000000000004E-3</v>
      </c>
      <c r="E155">
        <v>9.2200000000000004E-2</v>
      </c>
      <c r="F155">
        <v>0.1426</v>
      </c>
      <c r="G155">
        <v>8711298</v>
      </c>
      <c r="H155">
        <v>80581214</v>
      </c>
      <c r="I155" s="1" t="s">
        <v>1220</v>
      </c>
      <c r="J155">
        <v>8.14</v>
      </c>
      <c r="K155" s="1" t="s">
        <v>182</v>
      </c>
      <c r="L155">
        <v>2900000000</v>
      </c>
      <c r="M155">
        <f t="shared" si="2"/>
        <v>34</v>
      </c>
    </row>
    <row r="156" spans="1:13" x14ac:dyDescent="0.35">
      <c r="A156" s="1" t="s">
        <v>1227</v>
      </c>
      <c r="B156" s="1" t="s">
        <v>1228</v>
      </c>
      <c r="C156">
        <v>2.9999999999999997E-4</v>
      </c>
      <c r="D156">
        <v>3.1899999999999998E-2</v>
      </c>
      <c r="E156">
        <v>7.1999999999999998E-3</v>
      </c>
      <c r="F156">
        <v>0.37190000000000001</v>
      </c>
      <c r="G156">
        <v>7039426</v>
      </c>
      <c r="H156">
        <v>1936497</v>
      </c>
      <c r="I156" s="1" t="s">
        <v>1234</v>
      </c>
      <c r="J156">
        <v>13.7</v>
      </c>
      <c r="K156" s="1" t="s">
        <v>182</v>
      </c>
      <c r="L156">
        <v>22790000000</v>
      </c>
      <c r="M156">
        <f t="shared" si="2"/>
        <v>17</v>
      </c>
    </row>
    <row r="157" spans="1:13" x14ac:dyDescent="0.35">
      <c r="A157" s="1" t="s">
        <v>1235</v>
      </c>
      <c r="B157" s="1" t="s">
        <v>1236</v>
      </c>
      <c r="C157">
        <v>2.9999999999999997E-4</v>
      </c>
      <c r="D157">
        <v>3.8E-3</v>
      </c>
      <c r="E157">
        <v>4.9700000000000001E-2</v>
      </c>
      <c r="F157">
        <v>7.1300000000000002E-2</v>
      </c>
      <c r="G157">
        <v>7024062</v>
      </c>
      <c r="H157">
        <v>151392</v>
      </c>
      <c r="I157" s="1" t="s">
        <v>1243</v>
      </c>
      <c r="J157">
        <v>4.16</v>
      </c>
      <c r="K157" s="1" t="s">
        <v>182</v>
      </c>
      <c r="L157">
        <v>21000000000</v>
      </c>
      <c r="M157">
        <f t="shared" si="2"/>
        <v>85</v>
      </c>
    </row>
    <row r="158" spans="1:13" x14ac:dyDescent="0.35">
      <c r="A158" s="1" t="s">
        <v>1244</v>
      </c>
      <c r="B158" s="1" t="s">
        <v>1245</v>
      </c>
      <c r="C158">
        <v>3.6400000000000002E-2</v>
      </c>
      <c r="D158">
        <v>2.9999999999999997E-4</v>
      </c>
      <c r="E158">
        <v>1.6000000000000001E-3</v>
      </c>
      <c r="F158">
        <v>0.27579999999999999</v>
      </c>
      <c r="G158">
        <v>7017099</v>
      </c>
      <c r="H158">
        <v>0</v>
      </c>
      <c r="I158" s="1" t="s">
        <v>1250</v>
      </c>
      <c r="J158">
        <v>9.2566666666666659</v>
      </c>
      <c r="K158" s="1" t="s">
        <v>182</v>
      </c>
      <c r="L158">
        <v>193000000</v>
      </c>
      <c r="M158">
        <f t="shared" si="2"/>
        <v>32</v>
      </c>
    </row>
    <row r="159" spans="1:13" x14ac:dyDescent="0.35">
      <c r="A159" s="1" t="s">
        <v>1251</v>
      </c>
      <c r="B159" s="1" t="s">
        <v>1252</v>
      </c>
      <c r="C159">
        <v>2.9100000000000001E-2</v>
      </c>
      <c r="D159">
        <v>1.6999999999999999E-3</v>
      </c>
      <c r="E159">
        <v>1.34E-2</v>
      </c>
      <c r="F159">
        <v>8.0000000000000002E-3</v>
      </c>
      <c r="G159">
        <v>6980232</v>
      </c>
      <c r="H159">
        <v>651250</v>
      </c>
      <c r="I159" s="1" t="s">
        <v>1257</v>
      </c>
      <c r="J159">
        <v>0.77</v>
      </c>
      <c r="K159" s="1" t="s">
        <v>182</v>
      </c>
      <c r="L159">
        <v>239460000</v>
      </c>
      <c r="M159">
        <f t="shared" si="2"/>
        <v>210</v>
      </c>
    </row>
    <row r="160" spans="1:13" x14ac:dyDescent="0.35">
      <c r="A160" s="1" t="s">
        <v>1258</v>
      </c>
      <c r="B160" s="1" t="s">
        <v>1259</v>
      </c>
      <c r="C160">
        <v>7.7999999999999996E-3</v>
      </c>
      <c r="D160">
        <v>2.9999999999999997E-4</v>
      </c>
      <c r="E160">
        <v>4.4999999999999997E-3</v>
      </c>
      <c r="F160">
        <v>4.5600000000000002E-2</v>
      </c>
      <c r="G160">
        <v>6988499</v>
      </c>
      <c r="H160">
        <v>209894</v>
      </c>
      <c r="I160" s="1" t="s">
        <v>1264</v>
      </c>
      <c r="J160">
        <v>1.68</v>
      </c>
      <c r="K160" s="1" t="s">
        <v>182</v>
      </c>
      <c r="L160">
        <v>899980000</v>
      </c>
      <c r="M160">
        <f t="shared" si="2"/>
        <v>152</v>
      </c>
    </row>
    <row r="161" spans="1:13" x14ac:dyDescent="0.35">
      <c r="A161" s="1" t="s">
        <v>1265</v>
      </c>
      <c r="B161" s="1" t="s">
        <v>1266</v>
      </c>
      <c r="C161">
        <v>3.8399999999999997E-2</v>
      </c>
      <c r="D161">
        <v>1E-4</v>
      </c>
      <c r="E161">
        <v>4.4699999999999997E-2</v>
      </c>
      <c r="F161">
        <v>0.42030000000000001</v>
      </c>
      <c r="G161">
        <v>6971131</v>
      </c>
      <c r="H161">
        <v>0</v>
      </c>
      <c r="I161" s="1" t="s">
        <v>1271</v>
      </c>
      <c r="J161">
        <v>15.50333333333333</v>
      </c>
      <c r="K161" s="1" t="s">
        <v>182</v>
      </c>
      <c r="L161">
        <v>181750000</v>
      </c>
      <c r="M161">
        <f t="shared" si="2"/>
        <v>12</v>
      </c>
    </row>
    <row r="162" spans="1:13" x14ac:dyDescent="0.35">
      <c r="A162" s="1" t="s">
        <v>1272</v>
      </c>
      <c r="B162" s="1" t="s">
        <v>1273</v>
      </c>
      <c r="C162">
        <v>6.8999999999999999E-3</v>
      </c>
      <c r="D162">
        <v>2.8400000000000002E-2</v>
      </c>
      <c r="E162">
        <v>0.1206</v>
      </c>
      <c r="F162">
        <v>2.4005999999999998</v>
      </c>
      <c r="G162">
        <v>6935028</v>
      </c>
      <c r="H162">
        <v>7838229</v>
      </c>
      <c r="I162" s="1" t="s">
        <v>421</v>
      </c>
      <c r="J162">
        <v>84.986666666666665</v>
      </c>
      <c r="K162" s="1" t="s">
        <v>182</v>
      </c>
      <c r="L162">
        <v>1000000000</v>
      </c>
      <c r="M162">
        <f t="shared" si="2"/>
        <v>2</v>
      </c>
    </row>
    <row r="163" spans="1:13" x14ac:dyDescent="0.35">
      <c r="A163" s="1" t="s">
        <v>1279</v>
      </c>
      <c r="B163" s="1" t="s">
        <v>1280</v>
      </c>
      <c r="C163">
        <v>5.4800000000000001E-2</v>
      </c>
      <c r="D163">
        <v>3.3999999999999998E-3</v>
      </c>
      <c r="E163">
        <v>1.47E-2</v>
      </c>
      <c r="F163">
        <v>4.0800000000000003E-2</v>
      </c>
      <c r="G163">
        <v>6920914</v>
      </c>
      <c r="H163">
        <v>591729</v>
      </c>
      <c r="I163" s="1" t="s">
        <v>1286</v>
      </c>
      <c r="J163">
        <v>1.963333333333334</v>
      </c>
      <c r="K163" s="1" t="s">
        <v>77</v>
      </c>
      <c r="L163">
        <v>126280000</v>
      </c>
      <c r="M163">
        <f t="shared" si="2"/>
        <v>142</v>
      </c>
    </row>
    <row r="164" spans="1:13" x14ac:dyDescent="0.35">
      <c r="A164" s="1" t="s">
        <v>1287</v>
      </c>
      <c r="B164" s="1" t="s">
        <v>1288</v>
      </c>
      <c r="C164">
        <v>4.0000000000000002E-4</v>
      </c>
      <c r="D164">
        <v>2.0000000000000001E-4</v>
      </c>
      <c r="E164">
        <v>1.0200000000000001E-2</v>
      </c>
      <c r="F164">
        <v>0.223</v>
      </c>
      <c r="G164">
        <v>6903033</v>
      </c>
      <c r="H164">
        <v>98930</v>
      </c>
      <c r="I164" s="1" t="s">
        <v>1294</v>
      </c>
      <c r="J164">
        <v>7.78</v>
      </c>
      <c r="K164" s="1" t="s">
        <v>182</v>
      </c>
      <c r="L164">
        <v>18400000000</v>
      </c>
      <c r="M164">
        <f t="shared" si="2"/>
        <v>36</v>
      </c>
    </row>
    <row r="165" spans="1:13" x14ac:dyDescent="0.35">
      <c r="A165" s="1" t="s">
        <v>1295</v>
      </c>
      <c r="B165" s="1" t="s">
        <v>1296</v>
      </c>
      <c r="C165">
        <v>1.2500000000000001E-2</v>
      </c>
      <c r="D165">
        <v>2.0999999999999999E-3</v>
      </c>
      <c r="E165">
        <v>3.0700000000000002E-2</v>
      </c>
      <c r="F165">
        <v>5.7999999999999996E-3</v>
      </c>
      <c r="G165">
        <v>6903904</v>
      </c>
      <c r="H165">
        <v>7469390</v>
      </c>
      <c r="I165" s="1" t="s">
        <v>1300</v>
      </c>
      <c r="J165">
        <v>1.2866666666666671</v>
      </c>
      <c r="K165" s="1" t="s">
        <v>182</v>
      </c>
      <c r="L165">
        <v>550320000</v>
      </c>
      <c r="M165">
        <f t="shared" si="2"/>
        <v>174</v>
      </c>
    </row>
    <row r="166" spans="1:13" x14ac:dyDescent="0.35">
      <c r="A166" s="1" t="s">
        <v>1301</v>
      </c>
      <c r="B166" s="1" t="s">
        <v>1302</v>
      </c>
      <c r="C166">
        <v>0</v>
      </c>
      <c r="D166">
        <v>7.0000000000000001E-3</v>
      </c>
      <c r="E166">
        <v>2.7000000000000001E-3</v>
      </c>
      <c r="F166">
        <v>2.1299999999999999E-2</v>
      </c>
      <c r="G166">
        <v>6765129</v>
      </c>
      <c r="H166">
        <v>79822</v>
      </c>
      <c r="I166" s="1" t="s">
        <v>1306</v>
      </c>
      <c r="J166">
        <v>1.033333333333333</v>
      </c>
      <c r="K166" s="1" t="s">
        <v>182</v>
      </c>
      <c r="L166">
        <v>411290000000</v>
      </c>
      <c r="M166">
        <f t="shared" si="2"/>
        <v>198</v>
      </c>
    </row>
    <row r="167" spans="1:13" x14ac:dyDescent="0.35">
      <c r="A167" s="1" t="s">
        <v>1307</v>
      </c>
      <c r="B167" s="1" t="s">
        <v>1307</v>
      </c>
      <c r="C167">
        <v>6.5799999999999997E-2</v>
      </c>
      <c r="D167">
        <v>5.4000000000000003E-3</v>
      </c>
      <c r="E167">
        <v>4.4000000000000003E-3</v>
      </c>
      <c r="F167">
        <v>0.15</v>
      </c>
      <c r="G167">
        <v>6754774</v>
      </c>
      <c r="H167">
        <v>2138810</v>
      </c>
      <c r="I167" s="1" t="s">
        <v>1312</v>
      </c>
      <c r="J167">
        <v>5.3266666666666671</v>
      </c>
      <c r="K167" s="1" t="s">
        <v>77</v>
      </c>
      <c r="L167">
        <v>102610000</v>
      </c>
      <c r="M167">
        <f t="shared" si="2"/>
        <v>64</v>
      </c>
    </row>
    <row r="168" spans="1:13" x14ac:dyDescent="0.35">
      <c r="A168" s="1" t="s">
        <v>1318</v>
      </c>
      <c r="B168" s="1" t="s">
        <v>1319</v>
      </c>
      <c r="C168">
        <v>0.38569999999999999</v>
      </c>
      <c r="D168">
        <v>9.1000000000000004E-3</v>
      </c>
      <c r="E168">
        <v>2.1700000000000001E-2</v>
      </c>
      <c r="F168">
        <v>2.18E-2</v>
      </c>
      <c r="G168">
        <v>5371167</v>
      </c>
      <c r="H168">
        <v>48474</v>
      </c>
      <c r="I168" s="1" t="s">
        <v>1325</v>
      </c>
      <c r="J168">
        <v>1.753333333333333</v>
      </c>
      <c r="K168" s="1" t="s">
        <v>77</v>
      </c>
      <c r="L168">
        <v>13920000</v>
      </c>
      <c r="M168">
        <f t="shared" si="2"/>
        <v>150</v>
      </c>
    </row>
    <row r="169" spans="1:13" x14ac:dyDescent="0.35">
      <c r="A169" s="1" t="s">
        <v>1326</v>
      </c>
      <c r="B169" s="1" t="s">
        <v>1327</v>
      </c>
      <c r="C169">
        <v>2.7000000000000001E-3</v>
      </c>
      <c r="D169">
        <v>1.4800000000000001E-2</v>
      </c>
      <c r="E169">
        <v>5.5399999999999998E-2</v>
      </c>
      <c r="F169">
        <v>0.33229999999999998</v>
      </c>
      <c r="G169">
        <v>5369578</v>
      </c>
      <c r="H169">
        <v>15957</v>
      </c>
      <c r="I169" s="1" t="s">
        <v>1334</v>
      </c>
      <c r="J169">
        <v>13.41666666666667</v>
      </c>
      <c r="K169" s="1" t="s">
        <v>182</v>
      </c>
      <c r="L169">
        <v>1980000000</v>
      </c>
      <c r="M169">
        <f t="shared" si="2"/>
        <v>20</v>
      </c>
    </row>
    <row r="170" spans="1:13" x14ac:dyDescent="0.35">
      <c r="A170" s="1" t="s">
        <v>1335</v>
      </c>
      <c r="B170" s="1" t="s">
        <v>1336</v>
      </c>
      <c r="C170">
        <v>1.45</v>
      </c>
      <c r="D170">
        <v>1.2999999999999999E-3</v>
      </c>
      <c r="E170">
        <v>1E-4</v>
      </c>
      <c r="F170">
        <v>4.3200000000000002E-2</v>
      </c>
      <c r="G170">
        <v>5361551</v>
      </c>
      <c r="H170">
        <v>49697</v>
      </c>
      <c r="I170" s="1" t="s">
        <v>1340</v>
      </c>
      <c r="J170">
        <v>1.486666666666667</v>
      </c>
      <c r="K170" s="1" t="s">
        <v>38</v>
      </c>
      <c r="L170">
        <v>3680000</v>
      </c>
      <c r="M170">
        <f t="shared" si="2"/>
        <v>166</v>
      </c>
    </row>
    <row r="171" spans="1:13" x14ac:dyDescent="0.35">
      <c r="A171" s="1" t="s">
        <v>1341</v>
      </c>
      <c r="B171" s="1" t="s">
        <v>1342</v>
      </c>
      <c r="C171">
        <v>1.8200000000000001E-2</v>
      </c>
      <c r="D171">
        <v>3.5999999999999999E-3</v>
      </c>
      <c r="E171">
        <v>2.7000000000000001E-3</v>
      </c>
      <c r="F171">
        <v>7.3400000000000007E-2</v>
      </c>
      <c r="G171">
        <v>5341252</v>
      </c>
      <c r="H171">
        <v>127522</v>
      </c>
      <c r="I171" s="1" t="s">
        <v>1347</v>
      </c>
      <c r="J171">
        <v>2.6566666666666672</v>
      </c>
      <c r="K171" s="1" t="s">
        <v>182</v>
      </c>
      <c r="L171">
        <v>293190000</v>
      </c>
      <c r="M171">
        <f t="shared" si="2"/>
        <v>119</v>
      </c>
    </row>
    <row r="172" spans="1:13" x14ac:dyDescent="0.35">
      <c r="A172" s="1" t="s">
        <v>1348</v>
      </c>
      <c r="B172" s="1" t="s">
        <v>1349</v>
      </c>
      <c r="C172">
        <v>1.38</v>
      </c>
      <c r="D172">
        <v>8.3999999999999995E-3</v>
      </c>
      <c r="E172">
        <v>0.113</v>
      </c>
      <c r="F172">
        <v>0.33250000000000002</v>
      </c>
      <c r="G172">
        <v>5334624</v>
      </c>
      <c r="H172">
        <v>2198</v>
      </c>
      <c r="I172" s="1" t="s">
        <v>1355</v>
      </c>
      <c r="J172">
        <v>15.13</v>
      </c>
      <c r="K172" s="1" t="s">
        <v>38</v>
      </c>
      <c r="L172">
        <v>3860000</v>
      </c>
      <c r="M172">
        <f t="shared" si="2"/>
        <v>14</v>
      </c>
    </row>
    <row r="173" spans="1:13" x14ac:dyDescent="0.35">
      <c r="A173" s="1" t="s">
        <v>1361</v>
      </c>
      <c r="B173" s="1" t="s">
        <v>1362</v>
      </c>
      <c r="C173">
        <v>1.8599999999999998E-2</v>
      </c>
      <c r="D173">
        <v>2.0400000000000001E-2</v>
      </c>
      <c r="E173">
        <v>0.2611</v>
      </c>
      <c r="F173">
        <v>0.16850000000000001</v>
      </c>
      <c r="G173">
        <v>5318015</v>
      </c>
      <c r="H173">
        <v>9229876</v>
      </c>
      <c r="I173" s="1" t="s">
        <v>1369</v>
      </c>
      <c r="J173">
        <v>15</v>
      </c>
      <c r="K173" s="1" t="s">
        <v>182</v>
      </c>
      <c r="L173">
        <v>285000000</v>
      </c>
      <c r="M173">
        <f t="shared" si="2"/>
        <v>16</v>
      </c>
    </row>
    <row r="174" spans="1:13" x14ac:dyDescent="0.35">
      <c r="A174" s="1" t="s">
        <v>1370</v>
      </c>
      <c r="B174" s="1" t="s">
        <v>1371</v>
      </c>
      <c r="C174">
        <v>1.9E-3</v>
      </c>
      <c r="D174">
        <v>2.76E-2</v>
      </c>
      <c r="E174">
        <v>0.16339999999999999</v>
      </c>
      <c r="F174">
        <v>0.20019999999999999</v>
      </c>
      <c r="G174">
        <v>5338978</v>
      </c>
      <c r="H174">
        <v>12306576</v>
      </c>
      <c r="I174" s="1" t="s">
        <v>1378</v>
      </c>
      <c r="J174">
        <v>13.04</v>
      </c>
      <c r="K174" s="1" t="s">
        <v>182</v>
      </c>
      <c r="L174">
        <v>2760000000</v>
      </c>
      <c r="M174">
        <f t="shared" si="2"/>
        <v>21</v>
      </c>
    </row>
    <row r="175" spans="1:13" x14ac:dyDescent="0.35">
      <c r="A175" s="1" t="s">
        <v>1379</v>
      </c>
      <c r="B175" s="1" t="s">
        <v>1380</v>
      </c>
      <c r="C175">
        <v>3.1099999999999999E-2</v>
      </c>
      <c r="D175">
        <v>5.9999999999999995E-4</v>
      </c>
      <c r="E175">
        <v>2.75E-2</v>
      </c>
      <c r="F175">
        <v>9.9000000000000008E-3</v>
      </c>
      <c r="G175">
        <v>5307159</v>
      </c>
      <c r="H175">
        <v>47780</v>
      </c>
      <c r="I175" s="1" t="s">
        <v>1384</v>
      </c>
      <c r="J175">
        <v>1.2666666666666671</v>
      </c>
      <c r="K175" s="1" t="s">
        <v>182</v>
      </c>
      <c r="L175">
        <v>170460000</v>
      </c>
      <c r="M175">
        <f t="shared" si="2"/>
        <v>176</v>
      </c>
    </row>
    <row r="176" spans="1:13" x14ac:dyDescent="0.35">
      <c r="A176" s="1" t="s">
        <v>1385</v>
      </c>
      <c r="B176" s="1" t="s">
        <v>1138</v>
      </c>
      <c r="C176">
        <v>2.81</v>
      </c>
      <c r="D176">
        <v>8.0000000000000002E-3</v>
      </c>
      <c r="E176">
        <v>2E-3</v>
      </c>
      <c r="F176">
        <v>2.7199999999999998E-2</v>
      </c>
      <c r="G176">
        <v>5344497</v>
      </c>
      <c r="H176">
        <v>576860</v>
      </c>
      <c r="I176" s="1" t="s">
        <v>1390</v>
      </c>
      <c r="J176">
        <v>1.24</v>
      </c>
      <c r="K176" s="1" t="s">
        <v>38</v>
      </c>
      <c r="L176">
        <v>1900000</v>
      </c>
      <c r="M176">
        <f t="shared" si="2"/>
        <v>178</v>
      </c>
    </row>
    <row r="177" spans="1:13" x14ac:dyDescent="0.35">
      <c r="A177" s="1" t="s">
        <v>1391</v>
      </c>
      <c r="B177" s="1" t="s">
        <v>1392</v>
      </c>
      <c r="C177">
        <v>8.0999999999999996E-3</v>
      </c>
      <c r="D177">
        <v>1E-4</v>
      </c>
      <c r="E177">
        <v>1.0800000000000001E-2</v>
      </c>
      <c r="F177">
        <v>0.10829999999999999</v>
      </c>
      <c r="G177">
        <v>5285190</v>
      </c>
      <c r="H177">
        <v>317140</v>
      </c>
      <c r="I177" s="1" t="s">
        <v>1397</v>
      </c>
      <c r="J177">
        <v>3.9733333333333332</v>
      </c>
      <c r="K177" s="1" t="s">
        <v>182</v>
      </c>
      <c r="L177">
        <v>649960000</v>
      </c>
      <c r="M177">
        <f t="shared" si="2"/>
        <v>86</v>
      </c>
    </row>
    <row r="178" spans="1:13" x14ac:dyDescent="0.35">
      <c r="A178" s="1" t="s">
        <v>1398</v>
      </c>
      <c r="B178" s="1" t="s">
        <v>1398</v>
      </c>
      <c r="C178">
        <v>2.98E-2</v>
      </c>
      <c r="D178">
        <v>4.3E-3</v>
      </c>
      <c r="E178">
        <v>1.2999999999999999E-3</v>
      </c>
      <c r="F178">
        <v>1.5699999999999999E-2</v>
      </c>
      <c r="G178">
        <v>5275322</v>
      </c>
      <c r="H178">
        <v>322826</v>
      </c>
      <c r="I178" s="1" t="s">
        <v>1402</v>
      </c>
      <c r="J178">
        <v>0.71</v>
      </c>
      <c r="K178" s="1" t="s">
        <v>182</v>
      </c>
      <c r="L178">
        <v>177000000</v>
      </c>
      <c r="M178">
        <f t="shared" si="2"/>
        <v>218</v>
      </c>
    </row>
    <row r="179" spans="1:13" x14ac:dyDescent="0.35">
      <c r="A179" s="1" t="s">
        <v>1403</v>
      </c>
      <c r="B179" s="1" t="s">
        <v>1404</v>
      </c>
      <c r="C179">
        <v>1.1999999999999999E-3</v>
      </c>
      <c r="D179">
        <v>1.4800000000000001E-2</v>
      </c>
      <c r="E179">
        <v>2.0000000000000001E-4</v>
      </c>
      <c r="F179">
        <v>1.7000000000000001E-2</v>
      </c>
      <c r="G179">
        <v>5258248</v>
      </c>
      <c r="H179">
        <v>600203</v>
      </c>
      <c r="I179" s="1" t="s">
        <v>597</v>
      </c>
      <c r="J179">
        <v>1.0666666666666671</v>
      </c>
      <c r="K179" s="1" t="s">
        <v>182</v>
      </c>
      <c r="L179">
        <v>4510000000</v>
      </c>
      <c r="M179">
        <f t="shared" si="2"/>
        <v>196</v>
      </c>
    </row>
    <row r="180" spans="1:13" x14ac:dyDescent="0.35">
      <c r="A180" s="1" t="s">
        <v>1409</v>
      </c>
      <c r="B180" s="1" t="s">
        <v>1410</v>
      </c>
      <c r="C180">
        <v>5.3E-3</v>
      </c>
      <c r="D180">
        <v>5.0000000000000001E-4</v>
      </c>
      <c r="E180">
        <v>4.5999999999999999E-3</v>
      </c>
      <c r="F180">
        <v>3.1199999999999999E-2</v>
      </c>
      <c r="G180">
        <v>5236697</v>
      </c>
      <c r="H180">
        <v>292895</v>
      </c>
      <c r="I180" s="1" t="s">
        <v>1414</v>
      </c>
      <c r="J180">
        <v>1.21</v>
      </c>
      <c r="K180" s="1" t="s">
        <v>182</v>
      </c>
      <c r="L180">
        <v>993890000</v>
      </c>
      <c r="M180">
        <f t="shared" si="2"/>
        <v>183</v>
      </c>
    </row>
    <row r="181" spans="1:13" x14ac:dyDescent="0.35">
      <c r="A181" s="1" t="s">
        <v>1415</v>
      </c>
      <c r="B181" s="1" t="s">
        <v>1416</v>
      </c>
      <c r="C181">
        <v>6.85</v>
      </c>
      <c r="D181">
        <v>3.5999999999999999E-3</v>
      </c>
      <c r="E181">
        <v>8.4599999999999995E-2</v>
      </c>
      <c r="F181">
        <v>0.124</v>
      </c>
      <c r="G181">
        <v>3989390</v>
      </c>
      <c r="H181">
        <v>92583</v>
      </c>
      <c r="I181" s="1" t="s">
        <v>1422</v>
      </c>
      <c r="J181">
        <v>7.0733333333333333</v>
      </c>
      <c r="K181" s="1" t="s">
        <v>96</v>
      </c>
      <c r="L181">
        <v>581870</v>
      </c>
      <c r="M181">
        <f t="shared" si="2"/>
        <v>45</v>
      </c>
    </row>
    <row r="182" spans="1:13" x14ac:dyDescent="0.35">
      <c r="A182" s="1" t="s">
        <v>1423</v>
      </c>
      <c r="B182" s="1" t="s">
        <v>1424</v>
      </c>
      <c r="C182">
        <v>2.6499999999999999E-2</v>
      </c>
      <c r="D182">
        <v>0</v>
      </c>
      <c r="E182">
        <v>6.3E-2</v>
      </c>
      <c r="F182">
        <v>3.0200000000000001E-2</v>
      </c>
      <c r="G182">
        <v>3973979</v>
      </c>
      <c r="H182">
        <v>0.80549999999999999</v>
      </c>
      <c r="I182" s="1" t="s">
        <v>1430</v>
      </c>
      <c r="J182">
        <v>3.1066666666666669</v>
      </c>
      <c r="K182" s="1" t="s">
        <v>182</v>
      </c>
      <c r="L182">
        <v>149990000</v>
      </c>
      <c r="M182">
        <f t="shared" si="2"/>
        <v>101</v>
      </c>
    </row>
    <row r="183" spans="1:13" x14ac:dyDescent="0.35">
      <c r="A183" s="1" t="s">
        <v>1431</v>
      </c>
      <c r="B183" s="1" t="s">
        <v>1432</v>
      </c>
      <c r="C183">
        <v>0</v>
      </c>
      <c r="D183">
        <v>3.3E-3</v>
      </c>
      <c r="E183">
        <v>3.2000000000000001E-2</v>
      </c>
      <c r="F183">
        <v>0.5171</v>
      </c>
      <c r="G183">
        <v>3969203</v>
      </c>
      <c r="H183">
        <v>629530</v>
      </c>
      <c r="I183" s="1" t="s">
        <v>1438</v>
      </c>
      <c r="J183">
        <v>18.41333333333333</v>
      </c>
      <c r="K183" s="1" t="s">
        <v>182</v>
      </c>
      <c r="L183">
        <v>86180000000</v>
      </c>
      <c r="M183">
        <f t="shared" si="2"/>
        <v>9</v>
      </c>
    </row>
    <row r="184" spans="1:13" x14ac:dyDescent="0.35">
      <c r="A184" s="1" t="s">
        <v>1439</v>
      </c>
      <c r="B184" s="1" t="s">
        <v>1439</v>
      </c>
      <c r="C184">
        <v>1.9300000000000001E-2</v>
      </c>
      <c r="D184">
        <v>4.7999999999999996E-3</v>
      </c>
      <c r="E184">
        <v>1E-3</v>
      </c>
      <c r="F184">
        <v>8.6999999999999994E-3</v>
      </c>
      <c r="G184">
        <v>3954397</v>
      </c>
      <c r="H184">
        <v>445039</v>
      </c>
      <c r="I184" s="1" t="s">
        <v>1444</v>
      </c>
      <c r="J184">
        <v>0.48333333333333328</v>
      </c>
      <c r="K184" s="1" t="s">
        <v>182</v>
      </c>
      <c r="L184">
        <v>204830000</v>
      </c>
      <c r="M184">
        <f t="shared" si="2"/>
        <v>230</v>
      </c>
    </row>
    <row r="185" spans="1:13" x14ac:dyDescent="0.35">
      <c r="A185" s="1" t="s">
        <v>1445</v>
      </c>
      <c r="B185" s="1" t="s">
        <v>1446</v>
      </c>
      <c r="C185">
        <v>5.9999999999999995E-4</v>
      </c>
      <c r="D185">
        <v>8.3000000000000001E-3</v>
      </c>
      <c r="E185">
        <v>9.7000000000000003E-3</v>
      </c>
      <c r="F185">
        <v>2.92E-2</v>
      </c>
      <c r="G185">
        <v>3948510</v>
      </c>
      <c r="H185">
        <v>1118494</v>
      </c>
      <c r="I185" s="1" t="s">
        <v>1451</v>
      </c>
      <c r="J185">
        <v>1.573333333333333</v>
      </c>
      <c r="K185" s="1" t="s">
        <v>182</v>
      </c>
      <c r="L185">
        <v>6500000000</v>
      </c>
      <c r="M185">
        <f t="shared" si="2"/>
        <v>160</v>
      </c>
    </row>
    <row r="186" spans="1:13" x14ac:dyDescent="0.35">
      <c r="A186" s="1" t="s">
        <v>1458</v>
      </c>
      <c r="B186" s="1" t="s">
        <v>1459</v>
      </c>
      <c r="C186">
        <v>6.7000000000000002E-3</v>
      </c>
      <c r="D186">
        <v>4.7000000000000002E-3</v>
      </c>
      <c r="E186">
        <v>3.39E-2</v>
      </c>
      <c r="F186">
        <v>0.15379999999999999</v>
      </c>
      <c r="G186">
        <v>3913001</v>
      </c>
      <c r="H186">
        <v>719552</v>
      </c>
      <c r="I186" s="1" t="s">
        <v>1465</v>
      </c>
      <c r="J186">
        <v>6.413333333333334</v>
      </c>
      <c r="K186" s="1" t="s">
        <v>182</v>
      </c>
      <c r="L186">
        <v>585140000</v>
      </c>
      <c r="M186">
        <f t="shared" si="2"/>
        <v>52</v>
      </c>
    </row>
    <row r="187" spans="1:13" x14ac:dyDescent="0.35">
      <c r="A187" s="1" t="s">
        <v>1466</v>
      </c>
      <c r="B187" s="1" t="s">
        <v>1467</v>
      </c>
      <c r="C187">
        <v>1.1599999999999999</v>
      </c>
      <c r="D187">
        <v>5.9999999999999995E-4</v>
      </c>
      <c r="E187">
        <v>3.5000000000000001E-3</v>
      </c>
      <c r="F187">
        <v>2.5000000000000001E-3</v>
      </c>
      <c r="G187">
        <v>3912186</v>
      </c>
      <c r="H187">
        <v>15502397</v>
      </c>
      <c r="I187" s="1" t="s">
        <v>1471</v>
      </c>
      <c r="J187">
        <v>0.22</v>
      </c>
      <c r="K187" s="1" t="s">
        <v>38</v>
      </c>
      <c r="L187">
        <v>3350000</v>
      </c>
      <c r="M187">
        <f t="shared" si="2"/>
        <v>245</v>
      </c>
    </row>
    <row r="188" spans="1:13" x14ac:dyDescent="0.35">
      <c r="A188" s="1" t="s">
        <v>1472</v>
      </c>
      <c r="B188" s="1" t="s">
        <v>1473</v>
      </c>
      <c r="C188">
        <v>0</v>
      </c>
      <c r="D188">
        <v>8.9999999999999998E-4</v>
      </c>
      <c r="E188">
        <v>8.6999999999999994E-3</v>
      </c>
      <c r="F188">
        <v>4.3400000000000001E-2</v>
      </c>
      <c r="G188">
        <v>3901883</v>
      </c>
      <c r="H188">
        <v>1483</v>
      </c>
      <c r="I188" s="1" t="s">
        <v>1478</v>
      </c>
      <c r="J188">
        <v>1.7666666666666671</v>
      </c>
      <c r="K188" s="1" t="s">
        <v>182</v>
      </c>
      <c r="L188">
        <v>119640000000</v>
      </c>
      <c r="M188">
        <f t="shared" si="2"/>
        <v>149</v>
      </c>
    </row>
    <row r="189" spans="1:13" x14ac:dyDescent="0.35">
      <c r="A189" s="1" t="s">
        <v>1479</v>
      </c>
      <c r="B189" s="1" t="s">
        <v>1480</v>
      </c>
      <c r="C189">
        <v>0.1389</v>
      </c>
      <c r="D189">
        <v>5.7999999999999996E-3</v>
      </c>
      <c r="E189">
        <v>1.46E-2</v>
      </c>
      <c r="F189">
        <v>0.28549999999999998</v>
      </c>
      <c r="G189">
        <v>3897022</v>
      </c>
      <c r="H189">
        <v>136765</v>
      </c>
      <c r="I189" s="1" t="s">
        <v>1485</v>
      </c>
      <c r="J189">
        <v>10.196666666666671</v>
      </c>
      <c r="K189" s="1" t="s">
        <v>77</v>
      </c>
      <c r="L189">
        <v>28040000</v>
      </c>
      <c r="M189">
        <f t="shared" si="2"/>
        <v>29</v>
      </c>
    </row>
    <row r="190" spans="1:13" x14ac:dyDescent="0.35">
      <c r="A190" s="1" t="s">
        <v>1486</v>
      </c>
      <c r="B190" s="1" t="s">
        <v>1487</v>
      </c>
      <c r="C190">
        <v>6.8999999999999999E-3</v>
      </c>
      <c r="D190">
        <v>2.0000000000000001E-4</v>
      </c>
      <c r="E190">
        <v>6.4999999999999997E-3</v>
      </c>
      <c r="F190">
        <v>0.40179999999999999</v>
      </c>
      <c r="G190">
        <v>3895364</v>
      </c>
      <c r="H190">
        <v>1959808</v>
      </c>
      <c r="I190" s="1" t="s">
        <v>1492</v>
      </c>
      <c r="J190">
        <v>13.616666666666671</v>
      </c>
      <c r="K190" s="1" t="s">
        <v>182</v>
      </c>
      <c r="L190">
        <v>566340000</v>
      </c>
      <c r="M190">
        <f t="shared" si="2"/>
        <v>18</v>
      </c>
    </row>
    <row r="191" spans="1:13" x14ac:dyDescent="0.35">
      <c r="A191" s="1" t="s">
        <v>1498</v>
      </c>
      <c r="B191" s="1" t="s">
        <v>1499</v>
      </c>
      <c r="C191">
        <v>8.0000000000000002E-3</v>
      </c>
      <c r="D191">
        <v>1.4E-3</v>
      </c>
      <c r="E191">
        <v>1.1000000000000001E-3</v>
      </c>
      <c r="F191">
        <v>5.8900000000000001E-2</v>
      </c>
      <c r="G191">
        <v>3875951</v>
      </c>
      <c r="H191">
        <v>250968</v>
      </c>
      <c r="I191" s="1" t="s">
        <v>1503</v>
      </c>
      <c r="J191">
        <v>2.046666666666666</v>
      </c>
      <c r="K191" s="1" t="s">
        <v>182</v>
      </c>
      <c r="L191">
        <v>486200000</v>
      </c>
      <c r="M191">
        <f t="shared" si="2"/>
        <v>138</v>
      </c>
    </row>
    <row r="192" spans="1:13" x14ac:dyDescent="0.35">
      <c r="A192" s="1" t="s">
        <v>1504</v>
      </c>
      <c r="B192" s="1" t="s">
        <v>1505</v>
      </c>
      <c r="C192">
        <v>1E-3</v>
      </c>
      <c r="D192">
        <v>0</v>
      </c>
      <c r="E192">
        <v>2.53E-2</v>
      </c>
      <c r="F192">
        <v>4.3099999999999999E-2</v>
      </c>
      <c r="G192">
        <v>3874379</v>
      </c>
      <c r="H192">
        <v>71326</v>
      </c>
      <c r="I192" s="1" t="s">
        <v>1511</v>
      </c>
      <c r="J192">
        <v>2.2799999999999998</v>
      </c>
      <c r="K192" s="1" t="s">
        <v>182</v>
      </c>
      <c r="L192">
        <v>3710000000</v>
      </c>
      <c r="M192">
        <f t="shared" si="2"/>
        <v>129</v>
      </c>
    </row>
    <row r="193" spans="1:13" x14ac:dyDescent="0.35">
      <c r="A193" s="1" t="s">
        <v>1512</v>
      </c>
      <c r="B193" s="1" t="s">
        <v>1513</v>
      </c>
      <c r="C193">
        <v>3.0999999999999999E-3</v>
      </c>
      <c r="D193">
        <v>1.26E-2</v>
      </c>
      <c r="E193">
        <v>4.9700000000000001E-2</v>
      </c>
      <c r="F193">
        <v>0.13930000000000001</v>
      </c>
      <c r="G193">
        <v>3055921</v>
      </c>
      <c r="H193">
        <v>30021</v>
      </c>
      <c r="I193" s="1" t="s">
        <v>1518</v>
      </c>
      <c r="J193">
        <v>6.72</v>
      </c>
      <c r="K193" s="1" t="s">
        <v>182</v>
      </c>
      <c r="L193">
        <v>992870000</v>
      </c>
      <c r="M193">
        <f t="shared" si="2"/>
        <v>49</v>
      </c>
    </row>
    <row r="194" spans="1:13" x14ac:dyDescent="0.35">
      <c r="A194" s="1" t="s">
        <v>1519</v>
      </c>
      <c r="B194" s="1" t="s">
        <v>1519</v>
      </c>
      <c r="C194">
        <v>3.0000000000000001E-3</v>
      </c>
      <c r="D194">
        <v>1.1299999999999999E-2</v>
      </c>
      <c r="E194">
        <v>3.7900000000000003E-2</v>
      </c>
      <c r="F194">
        <v>2.64E-2</v>
      </c>
      <c r="G194">
        <v>3033512</v>
      </c>
      <c r="H194">
        <v>1377465</v>
      </c>
      <c r="I194" s="1" t="s">
        <v>421</v>
      </c>
      <c r="J194">
        <v>2.52</v>
      </c>
      <c r="K194" s="1" t="s">
        <v>182</v>
      </c>
      <c r="L194">
        <v>1000000000</v>
      </c>
      <c r="M194">
        <f t="shared" ref="M194:M257" si="3">IFERROR(RANK(J194,$J$2:$J$5000,0),"")</f>
        <v>123</v>
      </c>
    </row>
    <row r="195" spans="1:13" x14ac:dyDescent="0.35">
      <c r="A195" s="1" t="s">
        <v>1523</v>
      </c>
      <c r="B195" s="1" t="s">
        <v>1524</v>
      </c>
      <c r="C195">
        <v>3.0000000000000001E-3</v>
      </c>
      <c r="D195">
        <v>1E-3</v>
      </c>
      <c r="E195">
        <v>2.1999999999999999E-2</v>
      </c>
      <c r="F195">
        <v>0.13070000000000001</v>
      </c>
      <c r="G195">
        <v>3031864</v>
      </c>
      <c r="H195">
        <v>201319</v>
      </c>
      <c r="I195" s="1" t="s">
        <v>1529</v>
      </c>
      <c r="J195">
        <v>5.123333333333334</v>
      </c>
      <c r="K195" s="1" t="s">
        <v>182</v>
      </c>
      <c r="L195">
        <v>995210000</v>
      </c>
      <c r="M195">
        <f t="shared" si="3"/>
        <v>68</v>
      </c>
    </row>
    <row r="196" spans="1:13" x14ac:dyDescent="0.35">
      <c r="A196" s="1" t="s">
        <v>1530</v>
      </c>
      <c r="B196" s="1" t="s">
        <v>1531</v>
      </c>
      <c r="C196">
        <v>2.9999999999999997E-4</v>
      </c>
      <c r="D196">
        <v>4.6899999999999997E-2</v>
      </c>
      <c r="E196">
        <v>0.13539999999999999</v>
      </c>
      <c r="F196">
        <v>0.20619999999999999</v>
      </c>
      <c r="G196">
        <v>3029471</v>
      </c>
      <c r="H196">
        <v>14801</v>
      </c>
      <c r="I196" s="1" t="s">
        <v>1538</v>
      </c>
      <c r="J196">
        <v>12.95</v>
      </c>
      <c r="K196" s="1" t="s">
        <v>182</v>
      </c>
      <c r="L196">
        <v>10000000000</v>
      </c>
      <c r="M196">
        <f t="shared" si="3"/>
        <v>22</v>
      </c>
    </row>
    <row r="197" spans="1:13" x14ac:dyDescent="0.35">
      <c r="A197" s="1" t="s">
        <v>1539</v>
      </c>
      <c r="B197" s="1" t="s">
        <v>1540</v>
      </c>
      <c r="C197">
        <v>8.3999999999999995E-3</v>
      </c>
      <c r="D197">
        <v>1.9E-3</v>
      </c>
      <c r="E197">
        <v>8.8999999999999999E-3</v>
      </c>
      <c r="F197">
        <v>2.9100000000000001E-2</v>
      </c>
      <c r="G197">
        <v>3021696</v>
      </c>
      <c r="H197">
        <v>300326</v>
      </c>
      <c r="I197" s="1" t="s">
        <v>1544</v>
      </c>
      <c r="J197">
        <v>1.33</v>
      </c>
      <c r="K197" s="1" t="s">
        <v>182</v>
      </c>
      <c r="L197">
        <v>360560000</v>
      </c>
      <c r="M197">
        <f t="shared" si="3"/>
        <v>171</v>
      </c>
    </row>
    <row r="198" spans="1:13" x14ac:dyDescent="0.35">
      <c r="A198" s="1" t="s">
        <v>1545</v>
      </c>
      <c r="B198" s="1" t="s">
        <v>1546</v>
      </c>
      <c r="C198">
        <v>1.1000000000000001E-3</v>
      </c>
      <c r="D198">
        <v>1E-3</v>
      </c>
      <c r="E198">
        <v>8.9999999999999998E-4</v>
      </c>
      <c r="F198">
        <v>1.2999999999999999E-3</v>
      </c>
      <c r="G198">
        <v>2991745</v>
      </c>
      <c r="H198">
        <v>119464</v>
      </c>
      <c r="I198" s="1" t="s">
        <v>1550</v>
      </c>
      <c r="J198">
        <v>0.1066666666666667</v>
      </c>
      <c r="K198" s="1" t="s">
        <v>182</v>
      </c>
      <c r="L198">
        <v>2680000000</v>
      </c>
      <c r="M198">
        <f t="shared" si="3"/>
        <v>250</v>
      </c>
    </row>
    <row r="199" spans="1:13" x14ac:dyDescent="0.35">
      <c r="A199" s="1" t="s">
        <v>1551</v>
      </c>
      <c r="B199" s="1" t="s">
        <v>1552</v>
      </c>
      <c r="C199">
        <v>1.5299999999999999E-2</v>
      </c>
      <c r="D199">
        <v>6.9999999999999999E-4</v>
      </c>
      <c r="E199">
        <v>2.76E-2</v>
      </c>
      <c r="F199">
        <v>0.31069999999999998</v>
      </c>
      <c r="G199">
        <v>2989467</v>
      </c>
      <c r="H199">
        <v>6138</v>
      </c>
      <c r="I199" s="1" t="s">
        <v>1556</v>
      </c>
      <c r="J199">
        <v>11.3</v>
      </c>
      <c r="K199" s="1" t="s">
        <v>182</v>
      </c>
      <c r="L199">
        <v>195630000</v>
      </c>
      <c r="M199">
        <f t="shared" si="3"/>
        <v>26</v>
      </c>
    </row>
    <row r="200" spans="1:13" x14ac:dyDescent="0.35">
      <c r="A200" s="1" t="s">
        <v>1557</v>
      </c>
      <c r="B200" s="1" t="s">
        <v>1558</v>
      </c>
      <c r="C200">
        <v>8.3099999999999993E-2</v>
      </c>
      <c r="D200">
        <v>6.0000000000000001E-3</v>
      </c>
      <c r="E200">
        <v>5.6000000000000001E-2</v>
      </c>
      <c r="F200">
        <v>7.7299999999999994E-2</v>
      </c>
      <c r="G200">
        <v>2988465</v>
      </c>
      <c r="H200">
        <v>131593</v>
      </c>
      <c r="I200" s="1" t="s">
        <v>1564</v>
      </c>
      <c r="J200">
        <v>4.6433333333333344</v>
      </c>
      <c r="K200" s="1" t="s">
        <v>77</v>
      </c>
      <c r="L200">
        <v>975810000000000</v>
      </c>
      <c r="M200">
        <f t="shared" si="3"/>
        <v>78</v>
      </c>
    </row>
    <row r="201" spans="1:13" x14ac:dyDescent="0.35">
      <c r="A201" s="1" t="s">
        <v>1565</v>
      </c>
      <c r="B201" s="1" t="s">
        <v>1566</v>
      </c>
      <c r="C201">
        <v>0.1239</v>
      </c>
      <c r="D201">
        <v>2E-3</v>
      </c>
      <c r="E201">
        <v>4.6100000000000002E-2</v>
      </c>
      <c r="F201">
        <v>0.14499999999999999</v>
      </c>
      <c r="G201">
        <v>2962669</v>
      </c>
      <c r="H201">
        <v>1782</v>
      </c>
      <c r="I201" s="1" t="s">
        <v>1572</v>
      </c>
      <c r="J201">
        <v>6.4366666666666674</v>
      </c>
      <c r="K201" s="1" t="s">
        <v>77</v>
      </c>
      <c r="L201">
        <v>23890000</v>
      </c>
      <c r="M201">
        <f t="shared" si="3"/>
        <v>50</v>
      </c>
    </row>
    <row r="202" spans="1:13" x14ac:dyDescent="0.35">
      <c r="A202" s="1" t="s">
        <v>1573</v>
      </c>
      <c r="B202" s="1" t="s">
        <v>1574</v>
      </c>
      <c r="C202">
        <v>6.9999999999999999E-4</v>
      </c>
      <c r="D202">
        <v>8.0000000000000004E-4</v>
      </c>
      <c r="E202">
        <v>1.9E-3</v>
      </c>
      <c r="F202">
        <v>2.0199999999999999E-2</v>
      </c>
      <c r="G202">
        <v>2951486</v>
      </c>
      <c r="H202">
        <v>104434</v>
      </c>
      <c r="I202" s="1" t="s">
        <v>1579</v>
      </c>
      <c r="J202">
        <v>0.76333333333333331</v>
      </c>
      <c r="K202" s="1" t="s">
        <v>182</v>
      </c>
      <c r="L202">
        <v>4019999999.9999995</v>
      </c>
      <c r="M202">
        <f t="shared" si="3"/>
        <v>212</v>
      </c>
    </row>
    <row r="203" spans="1:13" x14ac:dyDescent="0.35">
      <c r="A203" s="1" t="s">
        <v>1580</v>
      </c>
      <c r="B203" s="1" t="s">
        <v>1581</v>
      </c>
      <c r="C203">
        <v>5.3100000000000001E-2</v>
      </c>
      <c r="D203">
        <v>7.3000000000000001E-3</v>
      </c>
      <c r="E203">
        <v>4.99E-2</v>
      </c>
      <c r="F203">
        <v>0.1169</v>
      </c>
      <c r="G203">
        <v>2949896</v>
      </c>
      <c r="H203">
        <v>2969</v>
      </c>
      <c r="I203" s="1" t="s">
        <v>1587</v>
      </c>
      <c r="J203">
        <v>5.8033333333333337</v>
      </c>
      <c r="K203" s="1" t="s">
        <v>77</v>
      </c>
      <c r="L203">
        <v>948420000000</v>
      </c>
      <c r="M203">
        <f t="shared" si="3"/>
        <v>59</v>
      </c>
    </row>
    <row r="204" spans="1:13" x14ac:dyDescent="0.35">
      <c r="A204" s="1" t="s">
        <v>1588</v>
      </c>
      <c r="B204" s="1" t="s">
        <v>1588</v>
      </c>
      <c r="C204">
        <v>3.7000000000000002E-3</v>
      </c>
      <c r="D204">
        <v>1E-3</v>
      </c>
      <c r="E204">
        <v>3.2599999999999997E-2</v>
      </c>
      <c r="F204">
        <v>0.13039999999999999</v>
      </c>
      <c r="G204">
        <v>2945952</v>
      </c>
      <c r="H204">
        <v>491</v>
      </c>
      <c r="I204" s="1" t="s">
        <v>1593</v>
      </c>
      <c r="J204">
        <v>5.4666666666666659</v>
      </c>
      <c r="K204" s="1" t="s">
        <v>182</v>
      </c>
      <c r="L204">
        <v>792550000</v>
      </c>
      <c r="M204">
        <f t="shared" si="3"/>
        <v>61</v>
      </c>
    </row>
    <row r="205" spans="1:13" x14ac:dyDescent="0.35">
      <c r="A205" s="1" t="s">
        <v>1594</v>
      </c>
      <c r="B205" s="1" t="s">
        <v>1595</v>
      </c>
      <c r="C205">
        <v>0.151</v>
      </c>
      <c r="D205">
        <v>1.1000000000000001E-3</v>
      </c>
      <c r="E205">
        <v>1.2200000000000001E-2</v>
      </c>
      <c r="F205">
        <v>1.4999999999999999E-2</v>
      </c>
      <c r="G205">
        <v>2944123</v>
      </c>
      <c r="H205">
        <v>254009</v>
      </c>
      <c r="I205" s="1" t="s">
        <v>1599</v>
      </c>
      <c r="J205">
        <v>0.94333333333333336</v>
      </c>
      <c r="K205" s="1" t="s">
        <v>77</v>
      </c>
      <c r="L205">
        <v>19480000</v>
      </c>
      <c r="M205">
        <f t="shared" si="3"/>
        <v>204</v>
      </c>
    </row>
    <row r="206" spans="1:13" x14ac:dyDescent="0.35">
      <c r="A206" s="1" t="s">
        <v>1600</v>
      </c>
      <c r="B206" s="1" t="s">
        <v>1601</v>
      </c>
      <c r="C206">
        <v>6.2100000000000002E-2</v>
      </c>
      <c r="D206">
        <v>3.3999999999999998E-3</v>
      </c>
      <c r="E206">
        <v>1.04E-2</v>
      </c>
      <c r="F206">
        <v>4.1700000000000001E-2</v>
      </c>
      <c r="G206">
        <v>2451641</v>
      </c>
      <c r="H206">
        <v>187217</v>
      </c>
      <c r="I206" s="1" t="s">
        <v>1607</v>
      </c>
      <c r="J206">
        <v>1.85</v>
      </c>
      <c r="K206" s="1" t="s">
        <v>77</v>
      </c>
      <c r="L206">
        <v>11560000000000</v>
      </c>
      <c r="M206">
        <f t="shared" si="3"/>
        <v>147</v>
      </c>
    </row>
    <row r="207" spans="1:13" x14ac:dyDescent="0.35">
      <c r="A207" s="1" t="s">
        <v>1608</v>
      </c>
      <c r="B207" s="1" t="s">
        <v>1609</v>
      </c>
      <c r="C207">
        <v>2.5999999999999999E-3</v>
      </c>
      <c r="D207">
        <v>1.77E-2</v>
      </c>
      <c r="E207">
        <v>6.5100000000000005E-2</v>
      </c>
      <c r="F207">
        <v>0.12839999999999999</v>
      </c>
      <c r="G207">
        <v>2450440</v>
      </c>
      <c r="H207">
        <v>492467</v>
      </c>
      <c r="I207" s="1" t="s">
        <v>1615</v>
      </c>
      <c r="J207">
        <v>7.0399999999999991</v>
      </c>
      <c r="K207" s="1" t="s">
        <v>182</v>
      </c>
      <c r="L207">
        <v>944200000</v>
      </c>
      <c r="M207">
        <f t="shared" si="3"/>
        <v>46</v>
      </c>
    </row>
    <row r="208" spans="1:13" x14ac:dyDescent="0.35">
      <c r="A208" s="1" t="s">
        <v>1616</v>
      </c>
      <c r="B208" s="1" t="s">
        <v>1617</v>
      </c>
      <c r="C208">
        <v>0.99929999999999997</v>
      </c>
      <c r="D208">
        <v>2.0000000000000001E-4</v>
      </c>
      <c r="E208">
        <v>5.0000000000000001E-4</v>
      </c>
      <c r="F208">
        <v>1.5E-3</v>
      </c>
      <c r="G208">
        <v>2440204</v>
      </c>
      <c r="H208">
        <v>2008</v>
      </c>
      <c r="I208" s="1" t="s">
        <v>1621</v>
      </c>
      <c r="J208">
        <v>7.3333333333333334E-2</v>
      </c>
      <c r="K208" s="1" t="s">
        <v>38</v>
      </c>
      <c r="L208">
        <v>2440000</v>
      </c>
      <c r="M208">
        <f t="shared" si="3"/>
        <v>251</v>
      </c>
    </row>
    <row r="209" spans="1:13" x14ac:dyDescent="0.35">
      <c r="A209" s="1" t="s">
        <v>1622</v>
      </c>
      <c r="B209" s="1" t="s">
        <v>1622</v>
      </c>
      <c r="C209">
        <v>2.9999999999999997E-4</v>
      </c>
      <c r="D209">
        <v>8.9999999999999998E-4</v>
      </c>
      <c r="E209">
        <v>5.8999999999999999E-3</v>
      </c>
      <c r="F209">
        <v>5.2499999999999998E-2</v>
      </c>
      <c r="G209">
        <v>2437868</v>
      </c>
      <c r="H209">
        <v>124370</v>
      </c>
      <c r="I209" s="1" t="s">
        <v>1627</v>
      </c>
      <c r="J209">
        <v>1.976666666666667</v>
      </c>
      <c r="K209" s="1" t="s">
        <v>182</v>
      </c>
      <c r="L209">
        <v>8850000000</v>
      </c>
      <c r="M209">
        <f t="shared" si="3"/>
        <v>140</v>
      </c>
    </row>
    <row r="210" spans="1:13" x14ac:dyDescent="0.35">
      <c r="A210" s="1" t="s">
        <v>1628</v>
      </c>
      <c r="B210" s="1" t="s">
        <v>1629</v>
      </c>
      <c r="C210">
        <v>2.4400000000000002E-2</v>
      </c>
      <c r="D210">
        <v>1.6999999999999999E-3</v>
      </c>
      <c r="E210">
        <v>1.7100000000000001E-2</v>
      </c>
      <c r="F210">
        <v>4.5400000000000003E-2</v>
      </c>
      <c r="G210">
        <v>2435203</v>
      </c>
      <c r="H210">
        <v>143141</v>
      </c>
      <c r="I210" s="1" t="s">
        <v>633</v>
      </c>
      <c r="J210">
        <v>2.14</v>
      </c>
      <c r="K210" s="1" t="s">
        <v>182</v>
      </c>
      <c r="L210">
        <v>100000000</v>
      </c>
      <c r="M210">
        <f t="shared" si="3"/>
        <v>132</v>
      </c>
    </row>
    <row r="211" spans="1:13" x14ac:dyDescent="0.35">
      <c r="A211" s="1" t="s">
        <v>1634</v>
      </c>
      <c r="B211" s="1" t="s">
        <v>1635</v>
      </c>
      <c r="C211">
        <v>4.4999999999999997E-3</v>
      </c>
      <c r="D211">
        <v>1.6799999999999999E-2</v>
      </c>
      <c r="E211">
        <v>7.6100000000000001E-2</v>
      </c>
      <c r="F211">
        <v>9.8400000000000001E-2</v>
      </c>
      <c r="G211">
        <v>2437004</v>
      </c>
      <c r="H211">
        <v>258266</v>
      </c>
      <c r="I211" s="1" t="s">
        <v>1641</v>
      </c>
      <c r="J211">
        <v>6.3766666666666678</v>
      </c>
      <c r="K211" s="1" t="s">
        <v>182</v>
      </c>
      <c r="L211">
        <v>537270000</v>
      </c>
      <c r="M211">
        <f t="shared" si="3"/>
        <v>54</v>
      </c>
    </row>
    <row r="212" spans="1:13" x14ac:dyDescent="0.35">
      <c r="A212" s="1" t="s">
        <v>1642</v>
      </c>
      <c r="B212" s="1" t="s">
        <v>1643</v>
      </c>
      <c r="C212">
        <v>1.23E-2</v>
      </c>
      <c r="D212">
        <v>4.0000000000000002E-4</v>
      </c>
      <c r="E212">
        <v>3.27E-2</v>
      </c>
      <c r="F212">
        <v>0.13139999999999999</v>
      </c>
      <c r="G212">
        <v>2429388</v>
      </c>
      <c r="H212">
        <v>226365</v>
      </c>
      <c r="I212" s="1" t="s">
        <v>1649</v>
      </c>
      <c r="J212">
        <v>5.4833333333333334</v>
      </c>
      <c r="K212" s="1" t="s">
        <v>182</v>
      </c>
      <c r="L212">
        <v>198050000</v>
      </c>
      <c r="M212">
        <f t="shared" si="3"/>
        <v>60</v>
      </c>
    </row>
    <row r="213" spans="1:13" x14ac:dyDescent="0.35">
      <c r="A213" s="1" t="s">
        <v>1650</v>
      </c>
      <c r="B213" s="1" t="s">
        <v>1651</v>
      </c>
      <c r="C213">
        <v>6.13E-2</v>
      </c>
      <c r="D213">
        <v>2.0000000000000001E-4</v>
      </c>
      <c r="E213">
        <v>1.1999999999999999E-3</v>
      </c>
      <c r="F213">
        <v>9.4000000000000004E-3</v>
      </c>
      <c r="G213">
        <v>2418869</v>
      </c>
      <c r="H213">
        <v>92</v>
      </c>
      <c r="I213" s="1" t="s">
        <v>1655</v>
      </c>
      <c r="J213">
        <v>0.35999999999999988</v>
      </c>
      <c r="K213" s="1" t="s">
        <v>77</v>
      </c>
      <c r="L213">
        <v>18220000000000</v>
      </c>
      <c r="M213">
        <f t="shared" si="3"/>
        <v>237</v>
      </c>
    </row>
    <row r="214" spans="1:13" x14ac:dyDescent="0.35">
      <c r="A214" s="1" t="s">
        <v>1656</v>
      </c>
      <c r="B214" s="1" t="s">
        <v>1657</v>
      </c>
      <c r="C214">
        <v>2.7000000000000001E-3</v>
      </c>
      <c r="D214">
        <v>3.3999999999999998E-3</v>
      </c>
      <c r="E214">
        <v>7.9000000000000008E-3</v>
      </c>
      <c r="F214">
        <v>9.01E-2</v>
      </c>
      <c r="G214">
        <v>2409578</v>
      </c>
      <c r="H214">
        <v>61679</v>
      </c>
      <c r="I214" s="1" t="s">
        <v>1662</v>
      </c>
      <c r="J214">
        <v>3.38</v>
      </c>
      <c r="K214" s="1" t="s">
        <v>182</v>
      </c>
      <c r="L214">
        <v>896450000</v>
      </c>
      <c r="M214">
        <f t="shared" si="3"/>
        <v>97</v>
      </c>
    </row>
    <row r="215" spans="1:13" x14ac:dyDescent="0.35">
      <c r="A215" s="1" t="s">
        <v>1663</v>
      </c>
      <c r="B215" s="1" t="s">
        <v>1664</v>
      </c>
      <c r="C215">
        <v>2.3999999999999998E-3</v>
      </c>
      <c r="D215">
        <v>2.0000000000000001E-4</v>
      </c>
      <c r="E215">
        <v>2.0299999999999999E-2</v>
      </c>
      <c r="F215">
        <v>0.1109</v>
      </c>
      <c r="G215">
        <v>2399071</v>
      </c>
      <c r="H215">
        <v>407765936</v>
      </c>
      <c r="I215" s="1" t="s">
        <v>421</v>
      </c>
      <c r="J215">
        <v>4.38</v>
      </c>
      <c r="K215" s="1" t="s">
        <v>182</v>
      </c>
      <c r="L215">
        <v>1000000000</v>
      </c>
      <c r="M215">
        <f t="shared" si="3"/>
        <v>82</v>
      </c>
    </row>
    <row r="216" spans="1:13" x14ac:dyDescent="0.35">
      <c r="A216" s="1" t="s">
        <v>1670</v>
      </c>
      <c r="B216" s="1" t="s">
        <v>1671</v>
      </c>
      <c r="C216">
        <v>1.4E-3</v>
      </c>
      <c r="D216">
        <v>9.4000000000000004E-3</v>
      </c>
      <c r="E216">
        <v>1.21E-2</v>
      </c>
      <c r="F216">
        <v>1.9599999999999999E-2</v>
      </c>
      <c r="G216">
        <v>2390793</v>
      </c>
      <c r="H216">
        <v>270652</v>
      </c>
      <c r="I216" s="1" t="s">
        <v>1675</v>
      </c>
      <c r="J216">
        <v>1.37</v>
      </c>
      <c r="K216" s="1" t="s">
        <v>182</v>
      </c>
      <c r="L216">
        <v>1740000000</v>
      </c>
      <c r="M216">
        <f t="shared" si="3"/>
        <v>169</v>
      </c>
    </row>
    <row r="217" spans="1:13" x14ac:dyDescent="0.35">
      <c r="A217" s="1" t="s">
        <v>1676</v>
      </c>
      <c r="B217" s="1" t="s">
        <v>1677</v>
      </c>
      <c r="C217">
        <v>5.0000000000000001E-3</v>
      </c>
      <c r="D217">
        <v>0</v>
      </c>
      <c r="E217">
        <v>6.3E-3</v>
      </c>
      <c r="F217">
        <v>4.7999999999999996E-3</v>
      </c>
      <c r="G217">
        <v>2386811</v>
      </c>
      <c r="H217">
        <v>709108</v>
      </c>
      <c r="I217" s="1" t="s">
        <v>1681</v>
      </c>
      <c r="J217">
        <v>0.36999999999999988</v>
      </c>
      <c r="K217" s="1" t="s">
        <v>182</v>
      </c>
      <c r="L217">
        <v>478260000</v>
      </c>
      <c r="M217">
        <f t="shared" si="3"/>
        <v>235</v>
      </c>
    </row>
    <row r="218" spans="1:13" x14ac:dyDescent="0.35">
      <c r="A218" s="1" t="s">
        <v>1682</v>
      </c>
      <c r="B218" s="1" t="s">
        <v>1683</v>
      </c>
      <c r="C218">
        <v>2.5000000000000001E-3</v>
      </c>
      <c r="D218">
        <v>5.0000000000000001E-4</v>
      </c>
      <c r="E218">
        <v>1.11E-2</v>
      </c>
      <c r="F218">
        <v>8.6999999999999994E-3</v>
      </c>
      <c r="G218">
        <v>2384847</v>
      </c>
      <c r="H218">
        <v>798438</v>
      </c>
      <c r="I218" s="1" t="s">
        <v>1687</v>
      </c>
      <c r="J218">
        <v>0.67666666666666675</v>
      </c>
      <c r="K218" s="1" t="s">
        <v>182</v>
      </c>
      <c r="L218">
        <v>970980000</v>
      </c>
      <c r="M218">
        <f t="shared" si="3"/>
        <v>221</v>
      </c>
    </row>
    <row r="219" spans="1:13" x14ac:dyDescent="0.35">
      <c r="A219" s="1" t="s">
        <v>1688</v>
      </c>
      <c r="B219" s="1" t="s">
        <v>1689</v>
      </c>
      <c r="C219">
        <v>3.0000000000000001E-3</v>
      </c>
      <c r="D219">
        <v>2.0000000000000001E-4</v>
      </c>
      <c r="E219">
        <v>2.2100000000000002E-2</v>
      </c>
      <c r="F219">
        <v>4.3999999999999997E-2</v>
      </c>
      <c r="G219">
        <v>2383405</v>
      </c>
      <c r="H219">
        <v>56260</v>
      </c>
      <c r="I219" s="1" t="s">
        <v>1694</v>
      </c>
      <c r="J219">
        <v>2.21</v>
      </c>
      <c r="K219" s="1" t="s">
        <v>182</v>
      </c>
      <c r="L219">
        <v>805710000</v>
      </c>
      <c r="M219">
        <f t="shared" si="3"/>
        <v>130</v>
      </c>
    </row>
    <row r="220" spans="1:13" x14ac:dyDescent="0.35">
      <c r="A220" s="1" t="s">
        <v>1695</v>
      </c>
      <c r="B220" s="1" t="s">
        <v>1696</v>
      </c>
      <c r="C220">
        <v>2E-3</v>
      </c>
      <c r="D220">
        <v>2.9899999999999999E-2</v>
      </c>
      <c r="E220">
        <v>0.28589999999999999</v>
      </c>
      <c r="F220">
        <v>0.28149999999999997</v>
      </c>
      <c r="G220">
        <v>1992338</v>
      </c>
      <c r="H220">
        <v>2253955</v>
      </c>
      <c r="I220" s="1" t="s">
        <v>1703</v>
      </c>
      <c r="J220">
        <v>19.91</v>
      </c>
      <c r="K220" s="1" t="s">
        <v>182</v>
      </c>
      <c r="L220">
        <v>998580000</v>
      </c>
      <c r="M220">
        <f t="shared" si="3"/>
        <v>7</v>
      </c>
    </row>
    <row r="221" spans="1:13" x14ac:dyDescent="0.35">
      <c r="A221" s="1" t="s">
        <v>1704</v>
      </c>
      <c r="B221" s="1" t="s">
        <v>1705</v>
      </c>
      <c r="C221">
        <v>3.44E-2</v>
      </c>
      <c r="D221">
        <v>1.6999999999999999E-3</v>
      </c>
      <c r="E221">
        <v>3.5999999999999999E-3</v>
      </c>
      <c r="F221">
        <v>2.5600000000000001E-2</v>
      </c>
      <c r="G221">
        <v>1986050</v>
      </c>
      <c r="H221">
        <v>172</v>
      </c>
      <c r="I221" s="1" t="s">
        <v>1710</v>
      </c>
      <c r="J221">
        <v>1.03</v>
      </c>
      <c r="K221" s="1" t="s">
        <v>182</v>
      </c>
      <c r="L221">
        <v>57800000</v>
      </c>
      <c r="M221">
        <f t="shared" si="3"/>
        <v>199</v>
      </c>
    </row>
    <row r="222" spans="1:13" x14ac:dyDescent="0.35">
      <c r="A222" s="1" t="s">
        <v>1717</v>
      </c>
      <c r="B222" s="1" t="s">
        <v>1617</v>
      </c>
      <c r="C222">
        <v>5.0000000000000001E-3</v>
      </c>
      <c r="D222">
        <v>5.3E-3</v>
      </c>
      <c r="E222">
        <v>5.8999999999999999E-3</v>
      </c>
      <c r="F222">
        <v>0.17879999999999999</v>
      </c>
      <c r="G222">
        <v>1982330</v>
      </c>
      <c r="H222">
        <v>69220</v>
      </c>
      <c r="I222" s="1" t="s">
        <v>1723</v>
      </c>
      <c r="J222">
        <v>6.333333333333333</v>
      </c>
      <c r="K222" s="1" t="s">
        <v>182</v>
      </c>
      <c r="L222">
        <v>396600000</v>
      </c>
      <c r="M222">
        <f t="shared" si="3"/>
        <v>55</v>
      </c>
    </row>
    <row r="223" spans="1:13" x14ac:dyDescent="0.35">
      <c r="A223" s="1" t="s">
        <v>1731</v>
      </c>
      <c r="B223" s="1" t="s">
        <v>1732</v>
      </c>
      <c r="C223">
        <v>7.0599999999999996E-2</v>
      </c>
      <c r="D223">
        <v>2.0000000000000001E-4</v>
      </c>
      <c r="E223">
        <v>6.1000000000000004E-3</v>
      </c>
      <c r="F223">
        <v>7.6E-3</v>
      </c>
      <c r="G223">
        <v>1976084</v>
      </c>
      <c r="H223">
        <v>1963</v>
      </c>
      <c r="I223" s="1" t="s">
        <v>1736</v>
      </c>
      <c r="J223">
        <v>0.46333333333333337</v>
      </c>
      <c r="K223" s="1" t="s">
        <v>77</v>
      </c>
      <c r="L223">
        <v>28000000</v>
      </c>
      <c r="M223">
        <f t="shared" si="3"/>
        <v>231</v>
      </c>
    </row>
    <row r="224" spans="1:13" x14ac:dyDescent="0.35">
      <c r="A224" s="1" t="s">
        <v>1737</v>
      </c>
      <c r="B224" s="1" t="s">
        <v>1738</v>
      </c>
      <c r="C224">
        <v>1.32E-2</v>
      </c>
      <c r="D224">
        <v>1.3599999999999999E-2</v>
      </c>
      <c r="E224">
        <v>1.9599999999999999E-2</v>
      </c>
      <c r="F224">
        <v>4.99E-2</v>
      </c>
      <c r="G224">
        <v>1973996</v>
      </c>
      <c r="H224">
        <v>40947</v>
      </c>
      <c r="I224" s="1" t="s">
        <v>1743</v>
      </c>
      <c r="J224">
        <v>2.77</v>
      </c>
      <c r="K224" s="1" t="s">
        <v>182</v>
      </c>
      <c r="L224">
        <v>150000000</v>
      </c>
      <c r="M224">
        <f t="shared" si="3"/>
        <v>116</v>
      </c>
    </row>
    <row r="225" spans="1:13" x14ac:dyDescent="0.35">
      <c r="A225" s="1" t="s">
        <v>1744</v>
      </c>
      <c r="B225" s="1" t="s">
        <v>1745</v>
      </c>
      <c r="C225">
        <v>5.8999999999999999E-3</v>
      </c>
      <c r="D225">
        <v>8.9999999999999998E-4</v>
      </c>
      <c r="E225">
        <v>1.5800000000000002E-2</v>
      </c>
      <c r="F225">
        <v>5.7000000000000002E-2</v>
      </c>
      <c r="G225">
        <v>1972884</v>
      </c>
      <c r="H225">
        <v>1987433</v>
      </c>
      <c r="I225" s="1" t="s">
        <v>1751</v>
      </c>
      <c r="J225">
        <v>2.456666666666667</v>
      </c>
      <c r="K225" s="1" t="s">
        <v>182</v>
      </c>
      <c r="L225">
        <v>334170000</v>
      </c>
      <c r="M225">
        <f t="shared" si="3"/>
        <v>125</v>
      </c>
    </row>
    <row r="226" spans="1:13" x14ac:dyDescent="0.35">
      <c r="A226" s="1" t="s">
        <v>1752</v>
      </c>
      <c r="B226" s="1" t="s">
        <v>1753</v>
      </c>
      <c r="C226">
        <v>2.5999999999999999E-3</v>
      </c>
      <c r="D226">
        <v>3.8E-3</v>
      </c>
      <c r="E226">
        <v>7.1300000000000002E-2</v>
      </c>
      <c r="F226">
        <v>0.15390000000000001</v>
      </c>
      <c r="G226">
        <v>1969690</v>
      </c>
      <c r="H226">
        <v>9856</v>
      </c>
      <c r="I226" s="1" t="s">
        <v>1758</v>
      </c>
      <c r="J226">
        <v>7.6333333333333329</v>
      </c>
      <c r="K226" s="1" t="s">
        <v>182</v>
      </c>
      <c r="L226">
        <v>751510000</v>
      </c>
      <c r="M226">
        <f t="shared" si="3"/>
        <v>39</v>
      </c>
    </row>
    <row r="227" spans="1:13" x14ac:dyDescent="0.35">
      <c r="A227" s="1" t="s">
        <v>1759</v>
      </c>
      <c r="B227" s="1" t="s">
        <v>1760</v>
      </c>
      <c r="C227">
        <v>2.5999999999999999E-3</v>
      </c>
      <c r="D227">
        <v>1.5E-3</v>
      </c>
      <c r="E227">
        <v>9.1999999999999998E-3</v>
      </c>
      <c r="F227">
        <v>4.7699999999999999E-2</v>
      </c>
      <c r="G227">
        <v>1967318</v>
      </c>
      <c r="H227">
        <v>155561</v>
      </c>
      <c r="I227" s="1" t="s">
        <v>1765</v>
      </c>
      <c r="J227">
        <v>1.946666666666667</v>
      </c>
      <c r="K227" s="1" t="s">
        <v>182</v>
      </c>
      <c r="L227">
        <v>754340000</v>
      </c>
      <c r="M227">
        <f t="shared" si="3"/>
        <v>143</v>
      </c>
    </row>
    <row r="228" spans="1:13" x14ac:dyDescent="0.35">
      <c r="A228" s="1" t="s">
        <v>1766</v>
      </c>
      <c r="B228" s="1" t="s">
        <v>1767</v>
      </c>
      <c r="C228">
        <v>8.2000000000000007E-3</v>
      </c>
      <c r="D228">
        <v>2.0999999999999999E-3</v>
      </c>
      <c r="E228">
        <v>4.3E-3</v>
      </c>
      <c r="F228">
        <v>4.7000000000000002E-3</v>
      </c>
      <c r="G228">
        <v>1965718</v>
      </c>
      <c r="H228">
        <v>58</v>
      </c>
      <c r="I228" s="1" t="s">
        <v>1771</v>
      </c>
      <c r="J228">
        <v>0.36999999999999988</v>
      </c>
      <c r="K228" s="1" t="s">
        <v>182</v>
      </c>
      <c r="L228">
        <v>238750000</v>
      </c>
      <c r="M228">
        <f t="shared" si="3"/>
        <v>235</v>
      </c>
    </row>
    <row r="229" spans="1:13" x14ac:dyDescent="0.35">
      <c r="A229" s="1" t="s">
        <v>1772</v>
      </c>
      <c r="B229" s="1" t="s">
        <v>1772</v>
      </c>
      <c r="C229">
        <v>0</v>
      </c>
      <c r="D229">
        <v>0.2351</v>
      </c>
      <c r="E229">
        <v>1.67E-2</v>
      </c>
      <c r="F229">
        <v>0.20619999999999999</v>
      </c>
      <c r="G229">
        <v>1964541</v>
      </c>
      <c r="H229">
        <v>19</v>
      </c>
      <c r="I229" s="1" t="s">
        <v>1778</v>
      </c>
      <c r="J229">
        <v>15.266666666666669</v>
      </c>
      <c r="K229" s="1" t="s">
        <v>182</v>
      </c>
      <c r="L229">
        <v>62070000000</v>
      </c>
      <c r="M229">
        <f t="shared" si="3"/>
        <v>13</v>
      </c>
    </row>
    <row r="230" spans="1:13" x14ac:dyDescent="0.35">
      <c r="A230" s="1" t="s">
        <v>1779</v>
      </c>
      <c r="B230" s="1" t="s">
        <v>1780</v>
      </c>
      <c r="C230">
        <v>2E-3</v>
      </c>
      <c r="D230">
        <v>8.3000000000000001E-3</v>
      </c>
      <c r="E230">
        <v>7.7999999999999996E-3</v>
      </c>
      <c r="F230">
        <v>4.6399999999999997E-2</v>
      </c>
      <c r="G230">
        <v>1963781</v>
      </c>
      <c r="H230">
        <v>266964</v>
      </c>
      <c r="I230" s="1" t="s">
        <v>1785</v>
      </c>
      <c r="J230">
        <v>2.083333333333333</v>
      </c>
      <c r="K230" s="1" t="s">
        <v>182</v>
      </c>
      <c r="L230">
        <v>979750000</v>
      </c>
      <c r="M230">
        <f t="shared" si="3"/>
        <v>134</v>
      </c>
    </row>
    <row r="231" spans="1:13" x14ac:dyDescent="0.35">
      <c r="A231" s="1" t="s">
        <v>1786</v>
      </c>
      <c r="B231" s="1" t="s">
        <v>1787</v>
      </c>
      <c r="C231">
        <v>0.15620000000000001</v>
      </c>
      <c r="D231">
        <v>3.2000000000000002E-3</v>
      </c>
      <c r="E231">
        <v>1.6E-2</v>
      </c>
      <c r="F231">
        <v>1.0200000000000001E-2</v>
      </c>
      <c r="G231">
        <v>1962027</v>
      </c>
      <c r="H231">
        <v>5175937</v>
      </c>
      <c r="I231" s="1" t="s">
        <v>1792</v>
      </c>
      <c r="J231">
        <v>0.98000000000000009</v>
      </c>
      <c r="K231" s="1" t="s">
        <v>77</v>
      </c>
      <c r="L231">
        <v>12550000</v>
      </c>
      <c r="M231">
        <f t="shared" si="3"/>
        <v>202</v>
      </c>
    </row>
    <row r="232" spans="1:13" x14ac:dyDescent="0.35">
      <c r="A232" s="1" t="s">
        <v>1793</v>
      </c>
      <c r="B232" s="1" t="s">
        <v>1794</v>
      </c>
      <c r="C232">
        <v>6.5100000000000005E-2</v>
      </c>
      <c r="D232">
        <v>5.9999999999999995E-4</v>
      </c>
      <c r="E232">
        <v>4.4000000000000003E-3</v>
      </c>
      <c r="F232">
        <v>8.1600000000000006E-2</v>
      </c>
      <c r="G232">
        <v>1948954</v>
      </c>
      <c r="H232">
        <v>45939</v>
      </c>
      <c r="I232" s="1" t="s">
        <v>1799</v>
      </c>
      <c r="J232">
        <v>2.8866666666666672</v>
      </c>
      <c r="K232" s="1" t="s">
        <v>77</v>
      </c>
      <c r="L232">
        <v>29940000</v>
      </c>
      <c r="M232">
        <f t="shared" si="3"/>
        <v>109</v>
      </c>
    </row>
    <row r="233" spans="1:13" x14ac:dyDescent="0.35">
      <c r="A233" s="1" t="s">
        <v>1800</v>
      </c>
      <c r="B233" s="1" t="s">
        <v>1801</v>
      </c>
      <c r="C233">
        <v>0</v>
      </c>
      <c r="D233">
        <v>1E-4</v>
      </c>
      <c r="E233">
        <v>8.2000000000000007E-3</v>
      </c>
      <c r="F233">
        <v>0.14990000000000001</v>
      </c>
      <c r="G233">
        <v>1589739</v>
      </c>
      <c r="H233">
        <v>38</v>
      </c>
      <c r="I233" s="1" t="s">
        <v>1806</v>
      </c>
      <c r="J233">
        <v>5.2733333333333334</v>
      </c>
      <c r="K233" s="1" t="s">
        <v>182</v>
      </c>
      <c r="L233">
        <v>61490000000</v>
      </c>
      <c r="M233">
        <f t="shared" si="3"/>
        <v>65</v>
      </c>
    </row>
    <row r="234" spans="1:13" x14ac:dyDescent="0.35">
      <c r="A234" s="1" t="s">
        <v>1807</v>
      </c>
      <c r="B234" s="1" t="s">
        <v>1808</v>
      </c>
      <c r="C234">
        <v>1.34E-2</v>
      </c>
      <c r="D234">
        <v>2.0000000000000001E-4</v>
      </c>
      <c r="E234">
        <v>6.0499999999999998E-2</v>
      </c>
      <c r="F234">
        <v>0.15679999999999999</v>
      </c>
      <c r="G234">
        <v>1576631</v>
      </c>
      <c r="H234">
        <v>1141</v>
      </c>
      <c r="I234" s="1" t="s">
        <v>1814</v>
      </c>
      <c r="J234">
        <v>7.25</v>
      </c>
      <c r="K234" s="1" t="s">
        <v>182</v>
      </c>
      <c r="L234">
        <v>117860000</v>
      </c>
      <c r="M234">
        <f t="shared" si="3"/>
        <v>43</v>
      </c>
    </row>
    <row r="235" spans="1:13" x14ac:dyDescent="0.35">
      <c r="A235" s="1" t="s">
        <v>1815</v>
      </c>
      <c r="B235" s="1" t="s">
        <v>1816</v>
      </c>
      <c r="C235">
        <v>5.8999999999999999E-3</v>
      </c>
      <c r="D235">
        <v>8.0000000000000004E-4</v>
      </c>
      <c r="E235">
        <v>7.9899999999999999E-2</v>
      </c>
      <c r="F235">
        <v>0.15359999999999999</v>
      </c>
      <c r="G235">
        <v>1565062</v>
      </c>
      <c r="H235">
        <v>115244</v>
      </c>
      <c r="I235" s="1" t="s">
        <v>1822</v>
      </c>
      <c r="J235">
        <v>7.81</v>
      </c>
      <c r="K235" s="1" t="s">
        <v>182</v>
      </c>
      <c r="L235">
        <v>266769999.99999997</v>
      </c>
      <c r="M235">
        <f t="shared" si="3"/>
        <v>35</v>
      </c>
    </row>
    <row r="236" spans="1:13" x14ac:dyDescent="0.35">
      <c r="A236" s="1" t="s">
        <v>1823</v>
      </c>
      <c r="B236" s="1" t="s">
        <v>1824</v>
      </c>
      <c r="C236">
        <v>1.03E-2</v>
      </c>
      <c r="D236">
        <v>5.1000000000000004E-3</v>
      </c>
      <c r="E236">
        <v>4.82E-2</v>
      </c>
      <c r="F236">
        <v>7.6600000000000001E-2</v>
      </c>
      <c r="G236">
        <v>1565008</v>
      </c>
      <c r="H236">
        <v>1353303</v>
      </c>
      <c r="I236" s="1" t="s">
        <v>1830</v>
      </c>
      <c r="J236">
        <v>4.33</v>
      </c>
      <c r="K236" s="1" t="s">
        <v>182</v>
      </c>
      <c r="M236">
        <f t="shared" si="3"/>
        <v>83</v>
      </c>
    </row>
    <row r="237" spans="1:13" x14ac:dyDescent="0.35">
      <c r="A237" s="1" t="s">
        <v>1831</v>
      </c>
      <c r="B237" s="1" t="s">
        <v>1832</v>
      </c>
      <c r="C237">
        <v>1.17E-2</v>
      </c>
      <c r="D237">
        <v>3.3999999999999998E-3</v>
      </c>
      <c r="E237">
        <v>3.5000000000000001E-3</v>
      </c>
      <c r="F237">
        <v>1.18E-2</v>
      </c>
      <c r="G237">
        <v>1562888</v>
      </c>
      <c r="H237">
        <v>3046178</v>
      </c>
      <c r="I237" s="1" t="s">
        <v>1836</v>
      </c>
      <c r="J237">
        <v>0.62333333333333329</v>
      </c>
      <c r="K237" s="1" t="s">
        <v>182</v>
      </c>
      <c r="L237">
        <v>133389999.99999999</v>
      </c>
      <c r="M237">
        <f t="shared" si="3"/>
        <v>225</v>
      </c>
    </row>
    <row r="238" spans="1:13" x14ac:dyDescent="0.35">
      <c r="A238" s="1" t="s">
        <v>1837</v>
      </c>
      <c r="B238" s="1" t="s">
        <v>1838</v>
      </c>
      <c r="C238">
        <v>2.3999999999999998E-3</v>
      </c>
      <c r="D238">
        <v>4.5999999999999999E-3</v>
      </c>
      <c r="E238">
        <v>1.6799999999999999E-2</v>
      </c>
      <c r="F238">
        <v>0.1704</v>
      </c>
      <c r="G238">
        <v>1559156</v>
      </c>
      <c r="H238">
        <v>162969</v>
      </c>
      <c r="I238" s="1" t="s">
        <v>1843</v>
      </c>
      <c r="J238">
        <v>6.3933333333333344</v>
      </c>
      <c r="K238" s="1" t="s">
        <v>182</v>
      </c>
      <c r="L238">
        <v>642490000</v>
      </c>
      <c r="M238">
        <f t="shared" si="3"/>
        <v>53</v>
      </c>
    </row>
    <row r="239" spans="1:13" x14ac:dyDescent="0.35">
      <c r="A239" s="1" t="s">
        <v>1844</v>
      </c>
      <c r="B239" s="1" t="s">
        <v>1845</v>
      </c>
      <c r="C239">
        <v>5.3800000000000001E-2</v>
      </c>
      <c r="D239">
        <v>6.7999999999999996E-3</v>
      </c>
      <c r="E239">
        <v>3.8600000000000002E-2</v>
      </c>
      <c r="F239">
        <v>0.1014</v>
      </c>
      <c r="G239">
        <v>1553294</v>
      </c>
      <c r="H239">
        <v>14256</v>
      </c>
      <c r="I239" s="1" t="s">
        <v>1852</v>
      </c>
      <c r="J239">
        <v>4.8933333333333344</v>
      </c>
      <c r="K239" s="1" t="s">
        <v>77</v>
      </c>
      <c r="L239">
        <v>410270000000</v>
      </c>
      <c r="M239">
        <f t="shared" si="3"/>
        <v>73</v>
      </c>
    </row>
    <row r="240" spans="1:13" x14ac:dyDescent="0.35">
      <c r="A240" s="1" t="s">
        <v>1853</v>
      </c>
      <c r="B240" s="1" t="s">
        <v>1854</v>
      </c>
      <c r="C240">
        <v>2.1800000000000002</v>
      </c>
      <c r="D240">
        <v>1.5299999999999999E-2</v>
      </c>
      <c r="E240">
        <v>0.9597</v>
      </c>
      <c r="F240">
        <v>3.0634999999999999</v>
      </c>
      <c r="G240">
        <v>1551621</v>
      </c>
      <c r="H240">
        <v>591632</v>
      </c>
      <c r="I240" s="1" t="s">
        <v>1861</v>
      </c>
      <c r="J240">
        <v>134.6166666666667</v>
      </c>
      <c r="K240" s="1" t="s">
        <v>38</v>
      </c>
      <c r="L240">
        <v>710110</v>
      </c>
      <c r="M240">
        <f t="shared" si="3"/>
        <v>1</v>
      </c>
    </row>
    <row r="241" spans="1:13" x14ac:dyDescent="0.35">
      <c r="A241" s="1" t="s">
        <v>1862</v>
      </c>
      <c r="B241" s="1" t="s">
        <v>1863</v>
      </c>
      <c r="C241">
        <v>7.2800000000000004E-2</v>
      </c>
      <c r="D241">
        <v>8.9999999999999998E-4</v>
      </c>
      <c r="E241">
        <v>6.8999999999999999E-3</v>
      </c>
      <c r="F241">
        <v>1.2699999999999999E-2</v>
      </c>
      <c r="G241">
        <v>1541897</v>
      </c>
      <c r="H241">
        <v>1316694</v>
      </c>
      <c r="I241" s="1" t="s">
        <v>1869</v>
      </c>
      <c r="J241">
        <v>0.68333333333333324</v>
      </c>
      <c r="K241" s="1" t="s">
        <v>77</v>
      </c>
      <c r="L241">
        <v>21180000</v>
      </c>
      <c r="M241">
        <f t="shared" si="3"/>
        <v>220</v>
      </c>
    </row>
    <row r="242" spans="1:13" x14ac:dyDescent="0.35">
      <c r="A242" s="1" t="s">
        <v>1875</v>
      </c>
      <c r="B242" s="1" t="s">
        <v>1876</v>
      </c>
      <c r="C242">
        <v>1.5E-3</v>
      </c>
      <c r="D242">
        <v>1.9E-3</v>
      </c>
      <c r="E242">
        <v>8.9999999999999998E-4</v>
      </c>
      <c r="F242">
        <v>1.1999999999999999E-3</v>
      </c>
      <c r="G242">
        <v>1527682</v>
      </c>
      <c r="H242">
        <v>631</v>
      </c>
      <c r="I242" s="1" t="s">
        <v>1880</v>
      </c>
      <c r="J242">
        <v>0.1333333333333333</v>
      </c>
      <c r="K242" s="1" t="s">
        <v>182</v>
      </c>
      <c r="L242">
        <v>994960000</v>
      </c>
      <c r="M242">
        <f t="shared" si="3"/>
        <v>249</v>
      </c>
    </row>
    <row r="243" spans="1:13" x14ac:dyDescent="0.35">
      <c r="A243" s="1" t="s">
        <v>1881</v>
      </c>
      <c r="B243" s="1" t="s">
        <v>1882</v>
      </c>
      <c r="C243">
        <v>0</v>
      </c>
      <c r="D243">
        <v>1.0999999999999999E-2</v>
      </c>
      <c r="E243">
        <v>7.7200000000000005E-2</v>
      </c>
      <c r="F243">
        <v>0.21210000000000001</v>
      </c>
      <c r="G243">
        <v>1526436</v>
      </c>
      <c r="H243">
        <v>182725</v>
      </c>
      <c r="I243" s="1" t="s">
        <v>1888</v>
      </c>
      <c r="J243">
        <v>10.01</v>
      </c>
      <c r="K243" s="1" t="s">
        <v>182</v>
      </c>
      <c r="L243">
        <v>115120000000</v>
      </c>
      <c r="M243">
        <f t="shared" si="3"/>
        <v>31</v>
      </c>
    </row>
    <row r="244" spans="1:13" x14ac:dyDescent="0.35">
      <c r="A244" s="1" t="s">
        <v>1896</v>
      </c>
      <c r="B244" s="1" t="s">
        <v>1897</v>
      </c>
      <c r="C244">
        <v>3.8999999999999998E-3</v>
      </c>
      <c r="D244">
        <v>2.0000000000000001E-4</v>
      </c>
      <c r="E244">
        <v>8.3900000000000002E-2</v>
      </c>
      <c r="F244">
        <v>0.1188</v>
      </c>
      <c r="G244">
        <v>1299890</v>
      </c>
      <c r="H244">
        <v>1248530</v>
      </c>
      <c r="I244" s="1" t="s">
        <v>1903</v>
      </c>
      <c r="J244">
        <v>6.7633333333333328</v>
      </c>
      <c r="K244" s="1" t="s">
        <v>182</v>
      </c>
      <c r="L244">
        <v>330000000</v>
      </c>
      <c r="M244">
        <f t="shared" si="3"/>
        <v>48</v>
      </c>
    </row>
    <row r="245" spans="1:13" x14ac:dyDescent="0.35">
      <c r="A245" s="1" t="s">
        <v>1908</v>
      </c>
      <c r="B245" s="1" t="s">
        <v>1909</v>
      </c>
      <c r="C245">
        <v>0.21629999999999999</v>
      </c>
      <c r="D245">
        <v>8.3999999999999995E-3</v>
      </c>
      <c r="E245">
        <v>6.2799999999999995E-2</v>
      </c>
      <c r="F245">
        <v>0.14219999999999999</v>
      </c>
      <c r="G245">
        <v>1295887</v>
      </c>
      <c r="H245">
        <v>22343</v>
      </c>
      <c r="I245" s="1" t="s">
        <v>1914</v>
      </c>
      <c r="J245">
        <v>7.1133333333333333</v>
      </c>
      <c r="K245" s="1" t="s">
        <v>77</v>
      </c>
      <c r="L245">
        <v>5990000</v>
      </c>
      <c r="M245">
        <f t="shared" si="3"/>
        <v>44</v>
      </c>
    </row>
    <row r="246" spans="1:13" x14ac:dyDescent="0.35">
      <c r="A246" s="1" t="s">
        <v>1915</v>
      </c>
      <c r="B246" s="1" t="s">
        <v>1916</v>
      </c>
      <c r="C246">
        <v>1.83E-2</v>
      </c>
      <c r="D246">
        <v>5.5999999999999999E-3</v>
      </c>
      <c r="E246">
        <v>2.6599999999999999E-2</v>
      </c>
      <c r="F246">
        <v>0.13120000000000001</v>
      </c>
      <c r="G246">
        <v>1294610</v>
      </c>
      <c r="H246">
        <v>58860</v>
      </c>
      <c r="I246" s="1" t="s">
        <v>1922</v>
      </c>
      <c r="J246">
        <v>5.4466666666666663</v>
      </c>
      <c r="K246" s="1" t="s">
        <v>182</v>
      </c>
      <c r="L246">
        <v>70700000</v>
      </c>
      <c r="M246">
        <f t="shared" si="3"/>
        <v>62</v>
      </c>
    </row>
    <row r="247" spans="1:13" x14ac:dyDescent="0.35">
      <c r="A247" s="1" t="s">
        <v>1923</v>
      </c>
      <c r="B247" s="1" t="s">
        <v>1924</v>
      </c>
      <c r="C247">
        <v>1E-4</v>
      </c>
      <c r="D247">
        <v>4.0000000000000002E-4</v>
      </c>
      <c r="E247">
        <v>8.8000000000000005E-3</v>
      </c>
      <c r="F247">
        <v>7.0900000000000005E-2</v>
      </c>
      <c r="G247">
        <v>1294378</v>
      </c>
      <c r="H247">
        <v>222584</v>
      </c>
      <c r="I247" s="1" t="s">
        <v>1928</v>
      </c>
      <c r="J247">
        <v>2.67</v>
      </c>
      <c r="K247" s="1" t="s">
        <v>182</v>
      </c>
      <c r="L247">
        <v>10550000000</v>
      </c>
      <c r="M247">
        <f t="shared" si="3"/>
        <v>118</v>
      </c>
    </row>
    <row r="248" spans="1:13" x14ac:dyDescent="0.35">
      <c r="A248" s="1" t="s">
        <v>1929</v>
      </c>
      <c r="B248" s="1" t="s">
        <v>1930</v>
      </c>
      <c r="C248">
        <v>4.0000000000000002E-4</v>
      </c>
      <c r="D248">
        <v>1.72E-2</v>
      </c>
      <c r="E248">
        <v>0.1946</v>
      </c>
      <c r="F248">
        <v>0.29220000000000002</v>
      </c>
      <c r="G248">
        <v>1285748</v>
      </c>
      <c r="H248">
        <v>7936</v>
      </c>
      <c r="I248" s="1" t="s">
        <v>1936</v>
      </c>
      <c r="J248">
        <v>16.8</v>
      </c>
      <c r="K248" s="1" t="s">
        <v>182</v>
      </c>
      <c r="L248">
        <v>2850000000</v>
      </c>
      <c r="M248">
        <f t="shared" si="3"/>
        <v>11</v>
      </c>
    </row>
    <row r="249" spans="1:13" x14ac:dyDescent="0.35">
      <c r="A249" s="1" t="s">
        <v>1937</v>
      </c>
      <c r="B249" s="1" t="s">
        <v>1938</v>
      </c>
      <c r="C249">
        <v>1.2999999999999999E-3</v>
      </c>
      <c r="D249">
        <v>1E-4</v>
      </c>
      <c r="E249">
        <v>2.0000000000000001E-4</v>
      </c>
      <c r="F249">
        <v>5.0000000000000001E-4</v>
      </c>
      <c r="G249">
        <v>1283708</v>
      </c>
      <c r="H249">
        <v>22761</v>
      </c>
      <c r="I249" s="1" t="s">
        <v>1942</v>
      </c>
      <c r="J249">
        <v>2.6666666666666668E-2</v>
      </c>
      <c r="K249" s="1" t="s">
        <v>182</v>
      </c>
      <c r="L249">
        <v>999920000</v>
      </c>
      <c r="M249">
        <f t="shared" si="3"/>
        <v>257</v>
      </c>
    </row>
    <row r="250" spans="1:13" x14ac:dyDescent="0.35">
      <c r="A250" s="1" t="s">
        <v>1943</v>
      </c>
      <c r="B250" s="1" t="s">
        <v>1944</v>
      </c>
      <c r="C250">
        <v>0.12540000000000001</v>
      </c>
      <c r="D250">
        <v>4.5999999999999999E-3</v>
      </c>
      <c r="E250">
        <v>2.1899999999999999E-2</v>
      </c>
      <c r="F250">
        <v>0.28639999999999999</v>
      </c>
      <c r="G250">
        <v>1279070</v>
      </c>
      <c r="H250">
        <v>99436</v>
      </c>
      <c r="I250" s="1" t="s">
        <v>1950</v>
      </c>
      <c r="J250">
        <v>10.43</v>
      </c>
      <c r="K250" s="1" t="s">
        <v>77</v>
      </c>
      <c r="L250">
        <v>10190000</v>
      </c>
      <c r="M250">
        <f t="shared" si="3"/>
        <v>28</v>
      </c>
    </row>
    <row r="251" spans="1:13" x14ac:dyDescent="0.35">
      <c r="A251" s="1" t="s">
        <v>1951</v>
      </c>
      <c r="B251" s="1" t="s">
        <v>1952</v>
      </c>
      <c r="C251">
        <v>1.9E-3</v>
      </c>
      <c r="D251">
        <v>1.6500000000000001E-2</v>
      </c>
      <c r="E251">
        <v>4.8099999999999997E-2</v>
      </c>
      <c r="F251">
        <v>6.3399999999999998E-2</v>
      </c>
      <c r="G251">
        <v>1277302</v>
      </c>
      <c r="H251">
        <v>138</v>
      </c>
      <c r="I251" s="1" t="s">
        <v>1958</v>
      </c>
      <c r="J251">
        <v>4.2666666666666666</v>
      </c>
      <c r="K251" s="1" t="s">
        <v>182</v>
      </c>
      <c r="L251">
        <v>681550000</v>
      </c>
      <c r="M251">
        <f t="shared" si="3"/>
        <v>84</v>
      </c>
    </row>
    <row r="252" spans="1:13" x14ac:dyDescent="0.35">
      <c r="A252" s="1" t="s">
        <v>1959</v>
      </c>
      <c r="B252" s="1" t="s">
        <v>1960</v>
      </c>
      <c r="C252">
        <v>1.2500000000000001E-2</v>
      </c>
      <c r="D252">
        <v>2.0000000000000001E-4</v>
      </c>
      <c r="E252">
        <v>4.4000000000000003E-3</v>
      </c>
      <c r="F252">
        <v>8.0000000000000004E-4</v>
      </c>
      <c r="G252">
        <v>1265403</v>
      </c>
      <c r="H252">
        <v>133476</v>
      </c>
      <c r="I252" s="1" t="s">
        <v>1964</v>
      </c>
      <c r="J252">
        <v>0.18</v>
      </c>
      <c r="K252" s="1" t="s">
        <v>182</v>
      </c>
      <c r="L252">
        <v>101060000</v>
      </c>
      <c r="M252">
        <f t="shared" si="3"/>
        <v>247</v>
      </c>
    </row>
    <row r="253" spans="1:13" x14ac:dyDescent="0.35">
      <c r="A253" s="1" t="s">
        <v>1965</v>
      </c>
      <c r="B253" s="1" t="s">
        <v>1966</v>
      </c>
      <c r="C253">
        <v>1.2999999999999999E-3</v>
      </c>
      <c r="D253">
        <v>7.4000000000000003E-3</v>
      </c>
      <c r="E253">
        <v>5.4800000000000001E-2</v>
      </c>
      <c r="F253">
        <v>0.26600000000000001</v>
      </c>
      <c r="G253">
        <v>1265309</v>
      </c>
      <c r="H253">
        <v>36911</v>
      </c>
      <c r="I253" s="1" t="s">
        <v>811</v>
      </c>
      <c r="J253">
        <v>10.94</v>
      </c>
      <c r="K253" s="1" t="s">
        <v>182</v>
      </c>
      <c r="L253">
        <v>999990000</v>
      </c>
      <c r="M253">
        <f t="shared" si="3"/>
        <v>27</v>
      </c>
    </row>
    <row r="254" spans="1:13" x14ac:dyDescent="0.35">
      <c r="A254" s="1" t="s">
        <v>1971</v>
      </c>
      <c r="B254" s="1" t="s">
        <v>1972</v>
      </c>
      <c r="C254">
        <v>5.0000000000000001E-4</v>
      </c>
      <c r="D254">
        <v>6.9999999999999999E-4</v>
      </c>
      <c r="E254">
        <v>1.4500000000000001E-2</v>
      </c>
      <c r="F254">
        <v>6.3E-3</v>
      </c>
      <c r="G254">
        <v>1264345</v>
      </c>
      <c r="H254">
        <v>201581</v>
      </c>
      <c r="I254" s="1" t="s">
        <v>699</v>
      </c>
      <c r="J254">
        <v>0.71666666666666667</v>
      </c>
      <c r="K254" s="1" t="s">
        <v>182</v>
      </c>
      <c r="L254">
        <v>2500000000</v>
      </c>
      <c r="M254">
        <f t="shared" si="3"/>
        <v>215</v>
      </c>
    </row>
    <row r="255" spans="1:13" x14ac:dyDescent="0.35">
      <c r="A255" s="1" t="s">
        <v>1981</v>
      </c>
      <c r="B255" s="1" t="s">
        <v>1982</v>
      </c>
      <c r="C255">
        <v>1.5E-3</v>
      </c>
      <c r="D255">
        <v>1.5E-3</v>
      </c>
      <c r="E255">
        <v>5.6099999999999997E-2</v>
      </c>
      <c r="F255">
        <v>0.17180000000000001</v>
      </c>
      <c r="G255">
        <v>1048117</v>
      </c>
      <c r="H255">
        <v>70293</v>
      </c>
      <c r="I255" s="1" t="s">
        <v>1987</v>
      </c>
      <c r="J255">
        <v>7.6466666666666674</v>
      </c>
      <c r="K255" s="1" t="s">
        <v>182</v>
      </c>
      <c r="L255">
        <v>692890000</v>
      </c>
      <c r="M255">
        <f t="shared" si="3"/>
        <v>38</v>
      </c>
    </row>
    <row r="256" spans="1:13" x14ac:dyDescent="0.35">
      <c r="A256" s="1" t="s">
        <v>1988</v>
      </c>
      <c r="B256" s="1" t="s">
        <v>1989</v>
      </c>
      <c r="C256">
        <v>5.3699999999999998E-2</v>
      </c>
      <c r="D256">
        <v>1.1000000000000001E-3</v>
      </c>
      <c r="E256">
        <v>1.49E-2</v>
      </c>
      <c r="F256">
        <v>0.1376</v>
      </c>
      <c r="G256">
        <v>1046844</v>
      </c>
      <c r="H256">
        <v>1399754</v>
      </c>
      <c r="I256" s="1" t="s">
        <v>1599</v>
      </c>
      <c r="J256">
        <v>5.12</v>
      </c>
      <c r="K256" s="1" t="s">
        <v>77</v>
      </c>
      <c r="L256">
        <v>19480000</v>
      </c>
      <c r="M256">
        <f t="shared" si="3"/>
        <v>69</v>
      </c>
    </row>
    <row r="257" spans="1:13" x14ac:dyDescent="0.35">
      <c r="A257" s="1" t="s">
        <v>1995</v>
      </c>
      <c r="B257" s="1" t="s">
        <v>1996</v>
      </c>
      <c r="C257">
        <v>1.6000000000000001E-3</v>
      </c>
      <c r="D257">
        <v>3.3E-3</v>
      </c>
      <c r="E257">
        <v>8.8000000000000005E-3</v>
      </c>
      <c r="F257">
        <v>1.01E-2</v>
      </c>
      <c r="G257">
        <v>1043314</v>
      </c>
      <c r="H257">
        <v>888197</v>
      </c>
      <c r="I257" s="1" t="s">
        <v>2001</v>
      </c>
      <c r="J257">
        <v>0.73999999999999988</v>
      </c>
      <c r="K257" s="1" t="s">
        <v>182</v>
      </c>
      <c r="L257">
        <v>635710000</v>
      </c>
      <c r="M257">
        <f t="shared" si="3"/>
        <v>213</v>
      </c>
    </row>
    <row r="258" spans="1:13" x14ac:dyDescent="0.35">
      <c r="A258" s="1" t="s">
        <v>2002</v>
      </c>
      <c r="B258" s="1" t="s">
        <v>2003</v>
      </c>
      <c r="C258">
        <v>0</v>
      </c>
      <c r="D258">
        <v>1E-4</v>
      </c>
      <c r="E258">
        <v>2.3E-3</v>
      </c>
      <c r="F258">
        <v>0.1043</v>
      </c>
      <c r="G258">
        <v>1042702</v>
      </c>
      <c r="H258">
        <v>45796</v>
      </c>
      <c r="I258" s="1" t="s">
        <v>2008</v>
      </c>
      <c r="J258">
        <v>3.5566666666666671</v>
      </c>
      <c r="K258" s="1" t="s">
        <v>182</v>
      </c>
      <c r="L258">
        <v>83350000000</v>
      </c>
      <c r="M258">
        <f t="shared" ref="M258:M264" si="4">IFERROR(RANK(J258,$J$2:$J$5000,0),"")</f>
        <v>90</v>
      </c>
    </row>
    <row r="259" spans="1:13" x14ac:dyDescent="0.35">
      <c r="A259" s="1" t="s">
        <v>2009</v>
      </c>
      <c r="B259" s="1" t="s">
        <v>2010</v>
      </c>
      <c r="C259">
        <v>1E-3</v>
      </c>
      <c r="D259">
        <v>6.3E-3</v>
      </c>
      <c r="E259">
        <v>6.0900000000000003E-2</v>
      </c>
      <c r="F259">
        <v>7.0900000000000005E-2</v>
      </c>
      <c r="G259">
        <v>1041108</v>
      </c>
      <c r="H259">
        <v>340077</v>
      </c>
      <c r="I259" s="1" t="s">
        <v>2015</v>
      </c>
      <c r="J259">
        <v>4.6033333333333326</v>
      </c>
      <c r="K259" s="1" t="s">
        <v>182</v>
      </c>
      <c r="L259">
        <v>994620000</v>
      </c>
      <c r="M259">
        <f t="shared" si="4"/>
        <v>79</v>
      </c>
    </row>
    <row r="260" spans="1:13" x14ac:dyDescent="0.35">
      <c r="A260" s="1" t="s">
        <v>2016</v>
      </c>
      <c r="B260" s="1" t="s">
        <v>2017</v>
      </c>
      <c r="C260">
        <v>6.1999999999999998E-3</v>
      </c>
      <c r="D260">
        <v>2.0999999999999999E-3</v>
      </c>
      <c r="E260">
        <v>1.4E-3</v>
      </c>
      <c r="F260">
        <v>3.2899999999999999E-2</v>
      </c>
      <c r="G260">
        <v>1039767</v>
      </c>
      <c r="H260">
        <v>186735</v>
      </c>
      <c r="I260" s="1" t="s">
        <v>2022</v>
      </c>
      <c r="J260">
        <v>1.2133333333333329</v>
      </c>
      <c r="K260" s="1" t="s">
        <v>182</v>
      </c>
      <c r="L260">
        <v>166570000</v>
      </c>
      <c r="M260">
        <f t="shared" si="4"/>
        <v>182</v>
      </c>
    </row>
    <row r="261" spans="1:13" x14ac:dyDescent="0.35">
      <c r="A261" s="1" t="s">
        <v>2023</v>
      </c>
      <c r="B261" s="1" t="s">
        <v>2024</v>
      </c>
      <c r="C261">
        <v>4.0000000000000001E-3</v>
      </c>
      <c r="D261">
        <v>6.9999999999999999E-4</v>
      </c>
      <c r="E261">
        <v>5.3E-3</v>
      </c>
      <c r="F261">
        <v>7.2999999999999995E-2</v>
      </c>
      <c r="G261">
        <v>1036378</v>
      </c>
      <c r="H261">
        <v>168169</v>
      </c>
      <c r="I261" s="1" t="s">
        <v>2029</v>
      </c>
      <c r="J261">
        <v>2.6333333333333329</v>
      </c>
      <c r="K261" s="1" t="s">
        <v>182</v>
      </c>
      <c r="L261">
        <v>258220000.00000003</v>
      </c>
      <c r="M261">
        <f t="shared" si="4"/>
        <v>120</v>
      </c>
    </row>
    <row r="262" spans="1:13" x14ac:dyDescent="0.35">
      <c r="A262" s="1" t="s">
        <v>2030</v>
      </c>
      <c r="B262" s="1" t="s">
        <v>2031</v>
      </c>
      <c r="C262">
        <v>2.8999999999999998E-3</v>
      </c>
      <c r="D262">
        <v>7.1999999999999998E-3</v>
      </c>
      <c r="E262">
        <v>1.7399999999999999E-2</v>
      </c>
      <c r="F262">
        <v>0.13739999999999999</v>
      </c>
      <c r="G262">
        <v>1031494</v>
      </c>
      <c r="H262">
        <v>121456</v>
      </c>
      <c r="I262" s="1" t="s">
        <v>2036</v>
      </c>
      <c r="J262">
        <v>5.3999999999999986</v>
      </c>
      <c r="K262" s="1" t="s">
        <v>182</v>
      </c>
      <c r="L262">
        <v>355900000</v>
      </c>
      <c r="M262">
        <f t="shared" si="4"/>
        <v>63</v>
      </c>
    </row>
    <row r="263" spans="1:13" x14ac:dyDescent="0.35">
      <c r="A263" s="1" t="s">
        <v>2037</v>
      </c>
      <c r="B263" s="1" t="s">
        <v>2038</v>
      </c>
      <c r="C263">
        <v>5.0000000000000001E-4</v>
      </c>
      <c r="D263">
        <v>2E-3</v>
      </c>
      <c r="E263">
        <v>5.4999999999999997E-3</v>
      </c>
      <c r="F263">
        <v>7.5700000000000003E-2</v>
      </c>
      <c r="G263">
        <v>1013562</v>
      </c>
      <c r="H263">
        <v>64025</v>
      </c>
      <c r="I263" s="1" t="s">
        <v>579</v>
      </c>
      <c r="J263">
        <v>2.773333333333333</v>
      </c>
      <c r="K263" s="1" t="s">
        <v>182</v>
      </c>
      <c r="L263">
        <v>2200000000</v>
      </c>
      <c r="M263">
        <f t="shared" si="4"/>
        <v>115</v>
      </c>
    </row>
    <row r="264" spans="1:13" x14ac:dyDescent="0.35">
      <c r="A264" s="1" t="s">
        <v>2043</v>
      </c>
      <c r="B264" s="1" t="s">
        <v>2044</v>
      </c>
      <c r="C264">
        <v>8.2199999999999995E-2</v>
      </c>
      <c r="D264">
        <v>3.0999999999999999E-3</v>
      </c>
      <c r="E264">
        <v>3.1300000000000001E-2</v>
      </c>
      <c r="F264">
        <v>1.3599999999999999E-2</v>
      </c>
      <c r="G264">
        <v>1012494</v>
      </c>
      <c r="H264">
        <v>73052</v>
      </c>
      <c r="I264" s="1" t="s">
        <v>2048</v>
      </c>
      <c r="J264">
        <v>1.6</v>
      </c>
      <c r="K264" s="1" t="s">
        <v>77</v>
      </c>
      <c r="L264">
        <v>469000000000000</v>
      </c>
      <c r="M264">
        <f t="shared" si="4"/>
        <v>158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354A-6CEE-4653-9885-398AF59010BC}">
  <dimension ref="B2:L300"/>
  <sheetViews>
    <sheetView zoomScale="46" workbookViewId="0">
      <selection activeCell="B2" sqref="B2:C13"/>
    </sheetView>
  </sheetViews>
  <sheetFormatPr defaultRowHeight="14.5" x14ac:dyDescent="0.35"/>
  <cols>
    <col min="2" max="2" width="22.6328125" bestFit="1" customWidth="1"/>
    <col min="3" max="3" width="19.453125" bestFit="1" customWidth="1"/>
    <col min="4" max="4" width="22.7265625" bestFit="1" customWidth="1"/>
    <col min="11" max="11" width="33.90625" bestFit="1" customWidth="1"/>
    <col min="12" max="12" width="24.6328125" bestFit="1" customWidth="1"/>
    <col min="13" max="13" width="5" bestFit="1" customWidth="1"/>
    <col min="14" max="15" width="4.453125" bestFit="1" customWidth="1"/>
    <col min="16" max="16" width="4.1796875" bestFit="1" customWidth="1"/>
    <col min="17" max="17" width="4.54296875" bestFit="1" customWidth="1"/>
    <col min="18" max="18" width="6.7265625" bestFit="1" customWidth="1"/>
    <col min="19" max="19" width="5.36328125" bestFit="1" customWidth="1"/>
    <col min="20" max="20" width="5.54296875" bestFit="1" customWidth="1"/>
    <col min="21" max="21" width="11.81640625" bestFit="1" customWidth="1"/>
    <col min="22" max="22" width="5.08984375" bestFit="1" customWidth="1"/>
    <col min="23" max="23" width="5.90625" bestFit="1" customWidth="1"/>
    <col min="24" max="24" width="6.453125" bestFit="1" customWidth="1"/>
    <col min="25" max="25" width="4.1796875" bestFit="1" customWidth="1"/>
    <col min="26" max="26" width="4.26953125" bestFit="1" customWidth="1"/>
    <col min="27" max="27" width="11.81640625" bestFit="1" customWidth="1"/>
    <col min="28" max="28" width="5.6328125" bestFit="1" customWidth="1"/>
    <col min="29" max="29" width="7" bestFit="1" customWidth="1"/>
    <col min="30" max="30" width="6" bestFit="1" customWidth="1"/>
    <col min="31" max="31" width="4.81640625" bestFit="1" customWidth="1"/>
    <col min="32" max="32" width="3.90625" bestFit="1" customWidth="1"/>
    <col min="33" max="33" width="5.81640625" bestFit="1" customWidth="1"/>
    <col min="34" max="34" width="4.1796875" bestFit="1" customWidth="1"/>
    <col min="35" max="35" width="5" bestFit="1" customWidth="1"/>
    <col min="36" max="36" width="4.81640625" bestFit="1" customWidth="1"/>
    <col min="37" max="37" width="6.1796875" bestFit="1" customWidth="1"/>
    <col min="38" max="38" width="5.54296875" bestFit="1" customWidth="1"/>
    <col min="39" max="39" width="9.1796875" bestFit="1" customWidth="1"/>
    <col min="40" max="40" width="4.1796875" bestFit="1" customWidth="1"/>
    <col min="41" max="41" width="6.1796875" bestFit="1" customWidth="1"/>
    <col min="42" max="43" width="5.08984375" bestFit="1" customWidth="1"/>
    <col min="44" max="44" width="4" bestFit="1" customWidth="1"/>
    <col min="45" max="45" width="2.08984375" bestFit="1" customWidth="1"/>
    <col min="46" max="46" width="4.26953125" bestFit="1" customWidth="1"/>
    <col min="47" max="47" width="6.7265625" bestFit="1" customWidth="1"/>
    <col min="48" max="48" width="5.36328125" bestFit="1" customWidth="1"/>
    <col min="49" max="49" width="3.08984375" bestFit="1" customWidth="1"/>
    <col min="50" max="50" width="4.54296875" bestFit="1" customWidth="1"/>
    <col min="51" max="51" width="6.7265625" bestFit="1" customWidth="1"/>
    <col min="52" max="52" width="6.08984375" bestFit="1" customWidth="1"/>
    <col min="53" max="53" width="5.81640625" bestFit="1" customWidth="1"/>
    <col min="54" max="54" width="5.1796875" bestFit="1" customWidth="1"/>
    <col min="55" max="55" width="4.90625" bestFit="1" customWidth="1"/>
    <col min="56" max="56" width="4.453125" bestFit="1" customWidth="1"/>
    <col min="57" max="57" width="5" bestFit="1" customWidth="1"/>
    <col min="58" max="58" width="2.6328125" bestFit="1" customWidth="1"/>
    <col min="59" max="59" width="5.08984375" bestFit="1" customWidth="1"/>
    <col min="60" max="60" width="5.54296875" bestFit="1" customWidth="1"/>
    <col min="61" max="61" width="11.81640625" bestFit="1" customWidth="1"/>
    <col min="62" max="62" width="5.6328125" bestFit="1" customWidth="1"/>
    <col min="63" max="63" width="5" bestFit="1" customWidth="1"/>
    <col min="64" max="64" width="5.08984375" bestFit="1" customWidth="1"/>
    <col min="65" max="65" width="4.453125" bestFit="1" customWidth="1"/>
    <col min="66" max="66" width="5.54296875" bestFit="1" customWidth="1"/>
    <col min="67" max="67" width="4.54296875" bestFit="1" customWidth="1"/>
    <col min="68" max="68" width="11.81640625" bestFit="1" customWidth="1"/>
    <col min="69" max="70" width="5" bestFit="1" customWidth="1"/>
    <col min="71" max="71" width="8.26953125" bestFit="1" customWidth="1"/>
    <col min="72" max="72" width="4.26953125" bestFit="1" customWidth="1"/>
    <col min="73" max="73" width="8.90625" bestFit="1" customWidth="1"/>
    <col min="74" max="74" width="5.90625" bestFit="1" customWidth="1"/>
    <col min="75" max="75" width="11.81640625" bestFit="1" customWidth="1"/>
    <col min="76" max="76" width="6.7265625" bestFit="1" customWidth="1"/>
    <col min="77" max="77" width="4" bestFit="1" customWidth="1"/>
    <col min="78" max="78" width="3.453125" bestFit="1" customWidth="1"/>
    <col min="79" max="79" width="3.7265625" bestFit="1" customWidth="1"/>
    <col min="80" max="80" width="6.08984375" bestFit="1" customWidth="1"/>
    <col min="81" max="81" width="6.6328125" bestFit="1" customWidth="1"/>
    <col min="82" max="82" width="5.81640625" bestFit="1" customWidth="1"/>
    <col min="83" max="84" width="3.90625" bestFit="1" customWidth="1"/>
    <col min="85" max="85" width="5" bestFit="1" customWidth="1"/>
    <col min="86" max="86" width="6.36328125" bestFit="1" customWidth="1"/>
    <col min="87" max="87" width="4.453125" bestFit="1" customWidth="1"/>
    <col min="88" max="88" width="5.6328125" bestFit="1" customWidth="1"/>
    <col min="89" max="89" width="7.81640625" bestFit="1" customWidth="1"/>
    <col min="90" max="90" width="6.90625" bestFit="1" customWidth="1"/>
    <col min="91" max="91" width="6.1796875" bestFit="1" customWidth="1"/>
    <col min="92" max="92" width="7" bestFit="1" customWidth="1"/>
    <col min="93" max="93" width="5.36328125" bestFit="1" customWidth="1"/>
    <col min="94" max="94" width="5" bestFit="1" customWidth="1"/>
    <col min="95" max="95" width="7.1796875" bestFit="1" customWidth="1"/>
    <col min="96" max="96" width="7.453125" bestFit="1" customWidth="1"/>
    <col min="97" max="97" width="7.1796875" bestFit="1" customWidth="1"/>
    <col min="98" max="98" width="5" bestFit="1" customWidth="1"/>
    <col min="99" max="99" width="6.1796875" bestFit="1" customWidth="1"/>
    <col min="100" max="100" width="5.90625" bestFit="1" customWidth="1"/>
    <col min="101" max="101" width="4.26953125" bestFit="1" customWidth="1"/>
    <col min="102" max="102" width="4.453125" bestFit="1" customWidth="1"/>
    <col min="103" max="103" width="5.81640625" bestFit="1" customWidth="1"/>
    <col min="104" max="104" width="5.36328125" bestFit="1" customWidth="1"/>
    <col min="105" max="105" width="4.7265625" bestFit="1" customWidth="1"/>
    <col min="106" max="106" width="5.90625" bestFit="1" customWidth="1"/>
    <col min="107" max="107" width="5.36328125" bestFit="1" customWidth="1"/>
    <col min="108" max="108" width="5.81640625" bestFit="1" customWidth="1"/>
    <col min="109" max="109" width="5" bestFit="1" customWidth="1"/>
    <col min="110" max="110" width="4.453125" bestFit="1" customWidth="1"/>
    <col min="111" max="111" width="5" bestFit="1" customWidth="1"/>
    <col min="112" max="112" width="5.54296875" bestFit="1" customWidth="1"/>
    <col min="113" max="113" width="5.36328125" bestFit="1" customWidth="1"/>
    <col min="114" max="114" width="4.453125" bestFit="1" customWidth="1"/>
    <col min="115" max="115" width="6.6328125" bestFit="1" customWidth="1"/>
    <col min="116" max="116" width="5.90625" bestFit="1" customWidth="1"/>
    <col min="117" max="117" width="6.7265625" bestFit="1" customWidth="1"/>
    <col min="118" max="118" width="6.36328125" bestFit="1" customWidth="1"/>
    <col min="119" max="119" width="7.453125" bestFit="1" customWidth="1"/>
    <col min="120" max="120" width="8.26953125" bestFit="1" customWidth="1"/>
    <col min="121" max="121" width="6.453125" bestFit="1" customWidth="1"/>
    <col min="122" max="122" width="6.1796875" bestFit="1" customWidth="1"/>
    <col min="123" max="123" width="4.1796875" bestFit="1" customWidth="1"/>
    <col min="124" max="124" width="2.81640625" bestFit="1" customWidth="1"/>
    <col min="125" max="125" width="4.1796875" bestFit="1" customWidth="1"/>
    <col min="126" max="126" width="5.36328125" bestFit="1" customWidth="1"/>
    <col min="127" max="127" width="5" bestFit="1" customWidth="1"/>
    <col min="128" max="128" width="5.08984375" bestFit="1" customWidth="1"/>
    <col min="129" max="129" width="5" bestFit="1" customWidth="1"/>
    <col min="130" max="130" width="4.26953125" bestFit="1" customWidth="1"/>
    <col min="131" max="131" width="7.26953125" bestFit="1" customWidth="1"/>
    <col min="132" max="133" width="7.81640625" bestFit="1" customWidth="1"/>
    <col min="134" max="135" width="6.453125" bestFit="1" customWidth="1"/>
    <col min="136" max="136" width="5.26953125" bestFit="1" customWidth="1"/>
    <col min="137" max="137" width="4.7265625" bestFit="1" customWidth="1"/>
    <col min="138" max="138" width="7" bestFit="1" customWidth="1"/>
    <col min="139" max="139" width="7.1796875" bestFit="1" customWidth="1"/>
    <col min="140" max="140" width="6.36328125" bestFit="1" customWidth="1"/>
    <col min="141" max="141" width="11.81640625" bestFit="1" customWidth="1"/>
    <col min="142" max="142" width="4.26953125" bestFit="1" customWidth="1"/>
    <col min="143" max="143" width="5.26953125" bestFit="1" customWidth="1"/>
    <col min="144" max="144" width="3.90625" bestFit="1" customWidth="1"/>
    <col min="145" max="145" width="6.90625" bestFit="1" customWidth="1"/>
    <col min="146" max="146" width="4.1796875" bestFit="1" customWidth="1"/>
    <col min="147" max="147" width="5" bestFit="1" customWidth="1"/>
    <col min="148" max="148" width="2.81640625" bestFit="1" customWidth="1"/>
    <col min="149" max="149" width="5.08984375" bestFit="1" customWidth="1"/>
    <col min="150" max="150" width="6.1796875" bestFit="1" customWidth="1"/>
    <col min="151" max="151" width="5.36328125" bestFit="1" customWidth="1"/>
    <col min="152" max="152" width="5.90625" bestFit="1" customWidth="1"/>
    <col min="153" max="153" width="2" bestFit="1" customWidth="1"/>
    <col min="154" max="154" width="5.08984375" bestFit="1" customWidth="1"/>
    <col min="155" max="155" width="4.81640625" bestFit="1" customWidth="1"/>
    <col min="156" max="157" width="5.36328125" bestFit="1" customWidth="1"/>
    <col min="158" max="158" width="5.08984375" bestFit="1" customWidth="1"/>
    <col min="159" max="159" width="3.6328125" bestFit="1" customWidth="1"/>
    <col min="160" max="160" width="6.36328125" bestFit="1" customWidth="1"/>
    <col min="161" max="161" width="11.81640625" bestFit="1" customWidth="1"/>
  </cols>
  <sheetData>
    <row r="2" spans="2:3" x14ac:dyDescent="0.35">
      <c r="B2" s="2" t="s">
        <v>2052</v>
      </c>
      <c r="C2" t="s">
        <v>2053</v>
      </c>
    </row>
    <row r="3" spans="2:3" x14ac:dyDescent="0.35">
      <c r="B3" s="3" t="s">
        <v>757</v>
      </c>
      <c r="C3" s="1">
        <v>16.940000000000001</v>
      </c>
    </row>
    <row r="4" spans="2:3" x14ac:dyDescent="0.35">
      <c r="B4" s="3" t="s">
        <v>1431</v>
      </c>
      <c r="C4" s="1">
        <v>18.41333333333333</v>
      </c>
    </row>
    <row r="5" spans="2:3" x14ac:dyDescent="0.35">
      <c r="B5" s="3" t="s">
        <v>940</v>
      </c>
      <c r="C5" s="1">
        <v>19.559999999999999</v>
      </c>
    </row>
    <row r="6" spans="2:3" x14ac:dyDescent="0.35">
      <c r="B6" s="3" t="s">
        <v>1695</v>
      </c>
      <c r="C6" s="1">
        <v>19.91</v>
      </c>
    </row>
    <row r="7" spans="2:3" x14ac:dyDescent="0.35">
      <c r="B7" s="3" t="s">
        <v>1019</v>
      </c>
      <c r="C7" s="1">
        <v>30.38</v>
      </c>
    </row>
    <row r="8" spans="2:3" x14ac:dyDescent="0.35">
      <c r="B8" s="3" t="s">
        <v>835</v>
      </c>
      <c r="C8" s="1">
        <v>33.483333333333327</v>
      </c>
    </row>
    <row r="9" spans="2:3" x14ac:dyDescent="0.35">
      <c r="B9" s="3" t="s">
        <v>455</v>
      </c>
      <c r="C9" s="1">
        <v>33.89</v>
      </c>
    </row>
    <row r="10" spans="2:3" x14ac:dyDescent="0.35">
      <c r="B10" s="3" t="s">
        <v>487</v>
      </c>
      <c r="C10" s="1">
        <v>48.486666666666672</v>
      </c>
    </row>
    <row r="11" spans="2:3" x14ac:dyDescent="0.35">
      <c r="B11" s="3" t="s">
        <v>1272</v>
      </c>
      <c r="C11" s="1">
        <v>84.986666666666665</v>
      </c>
    </row>
    <row r="12" spans="2:3" x14ac:dyDescent="0.35">
      <c r="B12" s="3" t="s">
        <v>1853</v>
      </c>
      <c r="C12" s="1">
        <v>134.6166666666667</v>
      </c>
    </row>
    <row r="13" spans="2:3" x14ac:dyDescent="0.35">
      <c r="B13" s="3" t="s">
        <v>2051</v>
      </c>
      <c r="C13" s="1">
        <v>134.6166666666667</v>
      </c>
    </row>
    <row r="29" spans="2:3" x14ac:dyDescent="0.35">
      <c r="B29" s="2" t="s">
        <v>2050</v>
      </c>
      <c r="C29" t="s">
        <v>2054</v>
      </c>
    </row>
    <row r="31" spans="2:3" x14ac:dyDescent="0.35">
      <c r="B31" s="2" t="s">
        <v>2052</v>
      </c>
      <c r="C31" t="s">
        <v>2055</v>
      </c>
    </row>
    <row r="32" spans="2:3" x14ac:dyDescent="0.35">
      <c r="B32" s="3" t="s">
        <v>1272</v>
      </c>
      <c r="C32" s="1">
        <v>6.8999999999999999E-3</v>
      </c>
    </row>
    <row r="33" spans="2:12" x14ac:dyDescent="0.35">
      <c r="B33" s="3" t="s">
        <v>835</v>
      </c>
      <c r="C33" s="1">
        <v>2E-3</v>
      </c>
    </row>
    <row r="34" spans="2:12" x14ac:dyDescent="0.35">
      <c r="B34" s="3" t="s">
        <v>1853</v>
      </c>
      <c r="C34" s="1">
        <v>2.1800000000000002</v>
      </c>
    </row>
    <row r="35" spans="2:12" x14ac:dyDescent="0.35">
      <c r="B35" s="3" t="s">
        <v>1431</v>
      </c>
      <c r="C35" s="1">
        <v>0</v>
      </c>
    </row>
    <row r="36" spans="2:12" x14ac:dyDescent="0.35">
      <c r="B36" s="3" t="s">
        <v>455</v>
      </c>
      <c r="C36" s="1">
        <v>5.3400000000000003E-2</v>
      </c>
      <c r="K36" s="2" t="s">
        <v>2052</v>
      </c>
      <c r="L36" t="s">
        <v>2060</v>
      </c>
    </row>
    <row r="37" spans="2:12" x14ac:dyDescent="0.35">
      <c r="B37" s="3" t="s">
        <v>1695</v>
      </c>
      <c r="C37" s="1">
        <v>2E-3</v>
      </c>
      <c r="K37" s="3" t="s">
        <v>237</v>
      </c>
      <c r="L37" s="1">
        <v>1</v>
      </c>
    </row>
    <row r="38" spans="2:12" x14ac:dyDescent="0.35">
      <c r="B38" s="3" t="s">
        <v>940</v>
      </c>
      <c r="C38" s="1">
        <v>1.37E-2</v>
      </c>
      <c r="K38" s="3" t="s">
        <v>1227</v>
      </c>
      <c r="L38" s="1">
        <v>1</v>
      </c>
    </row>
    <row r="39" spans="2:12" x14ac:dyDescent="0.35">
      <c r="B39" s="3" t="s">
        <v>1019</v>
      </c>
      <c r="C39" s="1">
        <v>0.10879999999999999</v>
      </c>
      <c r="K39" s="3" t="s">
        <v>496</v>
      </c>
      <c r="L39" s="1">
        <v>1</v>
      </c>
    </row>
    <row r="40" spans="2:12" x14ac:dyDescent="0.35">
      <c r="B40" s="3" t="s">
        <v>757</v>
      </c>
      <c r="C40" s="1">
        <v>3.3599999999999998E-2</v>
      </c>
      <c r="K40" s="3" t="s">
        <v>439</v>
      </c>
      <c r="L40" s="1">
        <v>1</v>
      </c>
    </row>
    <row r="41" spans="2:12" x14ac:dyDescent="0.35">
      <c r="B41" s="3" t="s">
        <v>487</v>
      </c>
      <c r="C41" s="1">
        <v>1.5800000000000002E-2</v>
      </c>
      <c r="K41" s="3" t="s">
        <v>1815</v>
      </c>
      <c r="L41" s="1">
        <v>1</v>
      </c>
    </row>
    <row r="42" spans="2:12" x14ac:dyDescent="0.35">
      <c r="B42" s="3" t="s">
        <v>2051</v>
      </c>
      <c r="C42" s="1">
        <v>2.4161999999999999</v>
      </c>
      <c r="D42" t="s">
        <v>2056</v>
      </c>
      <c r="K42" s="3" t="s">
        <v>406</v>
      </c>
      <c r="L42" s="1">
        <v>1</v>
      </c>
    </row>
    <row r="43" spans="2:12" x14ac:dyDescent="0.35">
      <c r="K43" s="3" t="s">
        <v>1600</v>
      </c>
      <c r="L43" s="1">
        <v>1</v>
      </c>
    </row>
    <row r="44" spans="2:12" x14ac:dyDescent="0.35">
      <c r="D44" t="s">
        <v>0</v>
      </c>
      <c r="E44" t="str">
        <f>B3</f>
        <v>SuperWalk</v>
      </c>
      <c r="K44" s="3" t="s">
        <v>619</v>
      </c>
      <c r="L44" s="1">
        <v>1</v>
      </c>
    </row>
    <row r="45" spans="2:12" x14ac:dyDescent="0.35">
      <c r="K45" s="3" t="s">
        <v>751</v>
      </c>
      <c r="L45" s="1">
        <v>1</v>
      </c>
    </row>
    <row r="46" spans="2:12" x14ac:dyDescent="0.35">
      <c r="D46" t="s">
        <v>1</v>
      </c>
      <c r="E46" t="str">
        <f>_xlfn.XLOOKUP(E44, cleaned_data!A:A, cleaned_data!B:B)</f>
        <v>GRND</v>
      </c>
      <c r="K46" s="3" t="s">
        <v>539</v>
      </c>
      <c r="L46" s="1">
        <v>1</v>
      </c>
    </row>
    <row r="47" spans="2:12" x14ac:dyDescent="0.35">
      <c r="K47" s="3" t="s">
        <v>325</v>
      </c>
      <c r="L47" s="1">
        <v>1</v>
      </c>
    </row>
    <row r="48" spans="2:12" x14ac:dyDescent="0.35">
      <c r="D48" t="s">
        <v>2057</v>
      </c>
      <c r="E48">
        <f>_xlfn.XLOOKUP(E44, cleaned_data!A:A, cleaned_data!C:C)</f>
        <v>3.3599999999999998E-2</v>
      </c>
      <c r="K48" s="3" t="s">
        <v>774</v>
      </c>
      <c r="L48" s="1">
        <v>1</v>
      </c>
    </row>
    <row r="49" spans="4:12" x14ac:dyDescent="0.35">
      <c r="K49" s="3" t="s">
        <v>532</v>
      </c>
      <c r="L49" s="1">
        <v>1</v>
      </c>
    </row>
    <row r="50" spans="4:12" x14ac:dyDescent="0.35">
      <c r="D50" t="s">
        <v>2058</v>
      </c>
      <c r="E50">
        <f>_xlfn.XLOOKUP(E44, cleaned_data!A:A, cleaned_data!J:J)</f>
        <v>16.940000000000001</v>
      </c>
      <c r="K50" s="3" t="s">
        <v>1807</v>
      </c>
      <c r="L50" s="1">
        <v>1</v>
      </c>
    </row>
    <row r="51" spans="4:12" x14ac:dyDescent="0.35">
      <c r="K51" s="3" t="s">
        <v>949</v>
      </c>
      <c r="L51" s="1">
        <v>1</v>
      </c>
    </row>
    <row r="52" spans="4:12" x14ac:dyDescent="0.35">
      <c r="D52" t="s">
        <v>2059</v>
      </c>
      <c r="E52">
        <f>GETPIVOTDATA("Price (USD)",$K$36)</f>
        <v>263</v>
      </c>
      <c r="K52" s="3" t="s">
        <v>1988</v>
      </c>
      <c r="L52" s="1">
        <v>1</v>
      </c>
    </row>
    <row r="53" spans="4:12" x14ac:dyDescent="0.35">
      <c r="K53" s="3" t="s">
        <v>422</v>
      </c>
      <c r="L53" s="1">
        <v>1</v>
      </c>
    </row>
    <row r="54" spans="4:12" x14ac:dyDescent="0.35">
      <c r="K54" s="3" t="s">
        <v>1272</v>
      </c>
      <c r="L54" s="1">
        <v>1</v>
      </c>
    </row>
    <row r="55" spans="4:12" x14ac:dyDescent="0.35">
      <c r="K55" s="3" t="s">
        <v>955</v>
      </c>
      <c r="L55" s="1">
        <v>1</v>
      </c>
    </row>
    <row r="56" spans="4:12" x14ac:dyDescent="0.35">
      <c r="K56" s="3" t="s">
        <v>478</v>
      </c>
      <c r="L56" s="1">
        <v>1</v>
      </c>
    </row>
    <row r="57" spans="4:12" x14ac:dyDescent="0.35">
      <c r="K57" s="3" t="s">
        <v>447</v>
      </c>
      <c r="L57" s="1">
        <v>1</v>
      </c>
    </row>
    <row r="58" spans="4:12" x14ac:dyDescent="0.35">
      <c r="K58" s="3" t="s">
        <v>2002</v>
      </c>
      <c r="L58" s="1">
        <v>1</v>
      </c>
    </row>
    <row r="59" spans="4:12" x14ac:dyDescent="0.35">
      <c r="K59" s="3" t="s">
        <v>987</v>
      </c>
      <c r="L59" s="1">
        <v>1</v>
      </c>
    </row>
    <row r="60" spans="4:12" x14ac:dyDescent="0.35">
      <c r="K60" s="3" t="s">
        <v>290</v>
      </c>
      <c r="L60" s="1">
        <v>1</v>
      </c>
    </row>
    <row r="61" spans="4:12" x14ac:dyDescent="0.35">
      <c r="K61" s="3" t="s">
        <v>1037</v>
      </c>
      <c r="L61" s="1">
        <v>1</v>
      </c>
    </row>
    <row r="62" spans="4:12" x14ac:dyDescent="0.35">
      <c r="K62" s="3" t="s">
        <v>11</v>
      </c>
      <c r="L62" s="1">
        <v>1</v>
      </c>
    </row>
    <row r="63" spans="4:12" x14ac:dyDescent="0.35">
      <c r="K63" s="3" t="s">
        <v>106</v>
      </c>
      <c r="L63" s="1">
        <v>1</v>
      </c>
    </row>
    <row r="64" spans="4:12" x14ac:dyDescent="0.35">
      <c r="K64" s="3" t="s">
        <v>1137</v>
      </c>
      <c r="L64" s="1">
        <v>1</v>
      </c>
    </row>
    <row r="65" spans="11:12" x14ac:dyDescent="0.35">
      <c r="K65" s="3" t="s">
        <v>199</v>
      </c>
      <c r="L65" s="1">
        <v>1</v>
      </c>
    </row>
    <row r="66" spans="11:12" x14ac:dyDescent="0.35">
      <c r="K66" s="3" t="s">
        <v>223</v>
      </c>
      <c r="L66" s="1">
        <v>1</v>
      </c>
    </row>
    <row r="67" spans="11:12" x14ac:dyDescent="0.35">
      <c r="K67" s="3" t="s">
        <v>571</v>
      </c>
      <c r="L67" s="1">
        <v>1</v>
      </c>
    </row>
    <row r="68" spans="11:12" x14ac:dyDescent="0.35">
      <c r="K68" s="3" t="s">
        <v>1093</v>
      </c>
      <c r="L68" s="1">
        <v>1</v>
      </c>
    </row>
    <row r="69" spans="11:12" x14ac:dyDescent="0.35">
      <c r="K69" s="3" t="s">
        <v>46</v>
      </c>
      <c r="L69" s="1">
        <v>1</v>
      </c>
    </row>
    <row r="70" spans="11:12" x14ac:dyDescent="0.35">
      <c r="K70" s="3" t="s">
        <v>691</v>
      </c>
      <c r="L70" s="1">
        <v>1</v>
      </c>
    </row>
    <row r="71" spans="11:12" x14ac:dyDescent="0.35">
      <c r="K71" s="3" t="s">
        <v>1379</v>
      </c>
      <c r="L71" s="1">
        <v>1</v>
      </c>
    </row>
    <row r="72" spans="11:12" x14ac:dyDescent="0.35">
      <c r="K72" s="3" t="s">
        <v>973</v>
      </c>
      <c r="L72" s="1">
        <v>1</v>
      </c>
    </row>
    <row r="73" spans="11:12" x14ac:dyDescent="0.35">
      <c r="K73" s="3" t="s">
        <v>344</v>
      </c>
      <c r="L73" s="1">
        <v>1</v>
      </c>
    </row>
    <row r="74" spans="11:12" x14ac:dyDescent="0.35">
      <c r="K74" s="3" t="s">
        <v>1479</v>
      </c>
      <c r="L74" s="1">
        <v>1</v>
      </c>
    </row>
    <row r="75" spans="11:12" x14ac:dyDescent="0.35">
      <c r="K75" s="3" t="s">
        <v>835</v>
      </c>
      <c r="L75" s="1">
        <v>1</v>
      </c>
    </row>
    <row r="76" spans="11:12" x14ac:dyDescent="0.35">
      <c r="K76" s="3" t="s">
        <v>273</v>
      </c>
      <c r="L76" s="1">
        <v>1</v>
      </c>
    </row>
    <row r="77" spans="11:12" x14ac:dyDescent="0.35">
      <c r="K77" s="3" t="s">
        <v>114</v>
      </c>
      <c r="L77" s="1">
        <v>1</v>
      </c>
    </row>
    <row r="78" spans="11:12" x14ac:dyDescent="0.35">
      <c r="K78" s="3" t="s">
        <v>505</v>
      </c>
      <c r="L78" s="1">
        <v>1</v>
      </c>
    </row>
    <row r="79" spans="11:12" x14ac:dyDescent="0.35">
      <c r="K79" s="3" t="s">
        <v>1823</v>
      </c>
      <c r="L79" s="1">
        <v>1</v>
      </c>
    </row>
    <row r="80" spans="11:12" x14ac:dyDescent="0.35">
      <c r="K80" s="3" t="s">
        <v>1688</v>
      </c>
      <c r="L80" s="1">
        <v>1</v>
      </c>
    </row>
    <row r="81" spans="11:12" x14ac:dyDescent="0.35">
      <c r="K81" s="3" t="s">
        <v>207</v>
      </c>
      <c r="L81" s="1">
        <v>1</v>
      </c>
    </row>
    <row r="82" spans="11:12" x14ac:dyDescent="0.35">
      <c r="K82" s="3" t="s">
        <v>1766</v>
      </c>
      <c r="L82" s="1">
        <v>1</v>
      </c>
    </row>
    <row r="83" spans="11:12" x14ac:dyDescent="0.35">
      <c r="K83" s="3" t="s">
        <v>765</v>
      </c>
      <c r="L83" s="1">
        <v>1</v>
      </c>
    </row>
    <row r="84" spans="11:12" x14ac:dyDescent="0.35">
      <c r="K84" s="3" t="s">
        <v>1837</v>
      </c>
      <c r="L84" s="1">
        <v>1</v>
      </c>
    </row>
    <row r="85" spans="11:12" x14ac:dyDescent="0.35">
      <c r="K85" s="3" t="s">
        <v>1853</v>
      </c>
      <c r="L85" s="1">
        <v>1</v>
      </c>
    </row>
    <row r="86" spans="11:12" x14ac:dyDescent="0.35">
      <c r="K86" s="3" t="s">
        <v>888</v>
      </c>
      <c r="L86" s="1">
        <v>1</v>
      </c>
    </row>
    <row r="87" spans="11:12" x14ac:dyDescent="0.35">
      <c r="K87" s="3" t="s">
        <v>1995</v>
      </c>
      <c r="L87" s="1">
        <v>1</v>
      </c>
    </row>
    <row r="88" spans="11:12" x14ac:dyDescent="0.35">
      <c r="K88" s="3" t="s">
        <v>851</v>
      </c>
      <c r="L88" s="1">
        <v>1</v>
      </c>
    </row>
    <row r="89" spans="11:12" x14ac:dyDescent="0.35">
      <c r="K89" s="3" t="s">
        <v>1486</v>
      </c>
      <c r="L89" s="1">
        <v>1</v>
      </c>
    </row>
    <row r="90" spans="11:12" x14ac:dyDescent="0.35">
      <c r="K90" s="3" t="s">
        <v>380</v>
      </c>
      <c r="L90" s="1">
        <v>1</v>
      </c>
    </row>
    <row r="91" spans="11:12" x14ac:dyDescent="0.35">
      <c r="K91" s="3" t="s">
        <v>857</v>
      </c>
      <c r="L91" s="1">
        <v>1</v>
      </c>
    </row>
    <row r="92" spans="11:12" x14ac:dyDescent="0.35">
      <c r="K92" s="3" t="s">
        <v>245</v>
      </c>
      <c r="L92" s="1">
        <v>1</v>
      </c>
    </row>
    <row r="93" spans="11:12" x14ac:dyDescent="0.35">
      <c r="K93" s="3" t="s">
        <v>1071</v>
      </c>
      <c r="L93" s="1">
        <v>1</v>
      </c>
    </row>
    <row r="94" spans="11:12" x14ac:dyDescent="0.35">
      <c r="K94" s="3" t="s">
        <v>1409</v>
      </c>
      <c r="L94" s="1">
        <v>1</v>
      </c>
    </row>
    <row r="95" spans="11:12" x14ac:dyDescent="0.35">
      <c r="K95" s="3" t="s">
        <v>1348</v>
      </c>
      <c r="L95" s="1">
        <v>1</v>
      </c>
    </row>
    <row r="96" spans="11:12" x14ac:dyDescent="0.35">
      <c r="K96" s="3" t="s">
        <v>1800</v>
      </c>
      <c r="L96" s="1">
        <v>1</v>
      </c>
    </row>
    <row r="97" spans="11:12" x14ac:dyDescent="0.35">
      <c r="K97" s="3" t="s">
        <v>138</v>
      </c>
      <c r="L97" s="1">
        <v>1</v>
      </c>
    </row>
    <row r="98" spans="11:12" x14ac:dyDescent="0.35">
      <c r="K98" s="3" t="s">
        <v>1167</v>
      </c>
      <c r="L98" s="1">
        <v>1</v>
      </c>
    </row>
    <row r="99" spans="11:12" x14ac:dyDescent="0.35">
      <c r="K99" s="3" t="s">
        <v>812</v>
      </c>
      <c r="L99" s="1">
        <v>1</v>
      </c>
    </row>
    <row r="100" spans="11:12" x14ac:dyDescent="0.35">
      <c r="K100" s="3" t="s">
        <v>183</v>
      </c>
      <c r="L100" s="1">
        <v>1</v>
      </c>
    </row>
    <row r="101" spans="11:12" x14ac:dyDescent="0.35">
      <c r="K101" s="3" t="s">
        <v>933</v>
      </c>
      <c r="L101" s="1">
        <v>1</v>
      </c>
    </row>
    <row r="102" spans="11:12" x14ac:dyDescent="0.35">
      <c r="K102" s="3" t="s">
        <v>1551</v>
      </c>
      <c r="L102" s="1">
        <v>1</v>
      </c>
    </row>
    <row r="103" spans="11:12" x14ac:dyDescent="0.35">
      <c r="K103" s="3" t="s">
        <v>1937</v>
      </c>
      <c r="L103" s="1">
        <v>1</v>
      </c>
    </row>
    <row r="104" spans="11:12" x14ac:dyDescent="0.35">
      <c r="K104" s="3" t="s">
        <v>1335</v>
      </c>
      <c r="L104" s="1">
        <v>1</v>
      </c>
    </row>
    <row r="105" spans="11:12" x14ac:dyDescent="0.35">
      <c r="K105" s="3" t="s">
        <v>431</v>
      </c>
      <c r="L105" s="1">
        <v>1</v>
      </c>
    </row>
    <row r="106" spans="11:12" x14ac:dyDescent="0.35">
      <c r="K106" s="3" t="s">
        <v>1881</v>
      </c>
      <c r="L106" s="1">
        <v>1</v>
      </c>
    </row>
    <row r="107" spans="11:12" x14ac:dyDescent="0.35">
      <c r="K107" s="3" t="s">
        <v>78</v>
      </c>
      <c r="L107" s="1">
        <v>1</v>
      </c>
    </row>
    <row r="108" spans="11:12" x14ac:dyDescent="0.35">
      <c r="K108" s="3" t="s">
        <v>787</v>
      </c>
      <c r="L108" s="1">
        <v>1</v>
      </c>
    </row>
    <row r="109" spans="11:12" x14ac:dyDescent="0.35">
      <c r="K109" s="3" t="s">
        <v>1634</v>
      </c>
      <c r="L109" s="1">
        <v>1</v>
      </c>
    </row>
    <row r="110" spans="11:12" x14ac:dyDescent="0.35">
      <c r="K110" s="3" t="s">
        <v>2016</v>
      </c>
      <c r="L110" s="1">
        <v>1</v>
      </c>
    </row>
    <row r="111" spans="11:12" x14ac:dyDescent="0.35">
      <c r="K111" s="3" t="s">
        <v>1458</v>
      </c>
      <c r="L111" s="1">
        <v>1</v>
      </c>
    </row>
    <row r="112" spans="11:12" x14ac:dyDescent="0.35">
      <c r="K112" s="3" t="s">
        <v>908</v>
      </c>
      <c r="L112" s="1">
        <v>1</v>
      </c>
    </row>
    <row r="113" spans="11:12" x14ac:dyDescent="0.35">
      <c r="K113" s="3" t="s">
        <v>1184</v>
      </c>
      <c r="L113" s="1">
        <v>1</v>
      </c>
    </row>
    <row r="114" spans="11:12" x14ac:dyDescent="0.35">
      <c r="K114" s="3" t="s">
        <v>1959</v>
      </c>
      <c r="L114" s="1">
        <v>1</v>
      </c>
    </row>
    <row r="115" spans="11:12" x14ac:dyDescent="0.35">
      <c r="K115" s="3" t="s">
        <v>580</v>
      </c>
      <c r="L115" s="1">
        <v>1</v>
      </c>
    </row>
    <row r="116" spans="11:12" x14ac:dyDescent="0.35">
      <c r="K116" s="3" t="s">
        <v>147</v>
      </c>
      <c r="L116" s="1">
        <v>1</v>
      </c>
    </row>
    <row r="117" spans="11:12" x14ac:dyDescent="0.35">
      <c r="K117" s="3" t="s">
        <v>21</v>
      </c>
      <c r="L117" s="1">
        <v>1</v>
      </c>
    </row>
    <row r="118" spans="11:12" x14ac:dyDescent="0.35">
      <c r="K118" s="3" t="s">
        <v>606</v>
      </c>
      <c r="L118" s="1">
        <v>1</v>
      </c>
    </row>
    <row r="119" spans="11:12" x14ac:dyDescent="0.35">
      <c r="K119" s="3" t="s">
        <v>1326</v>
      </c>
      <c r="L119" s="1">
        <v>1</v>
      </c>
    </row>
    <row r="120" spans="11:12" x14ac:dyDescent="0.35">
      <c r="K120" s="3" t="s">
        <v>870</v>
      </c>
      <c r="L120" s="1">
        <v>1</v>
      </c>
    </row>
    <row r="121" spans="11:12" x14ac:dyDescent="0.35">
      <c r="K121" s="3" t="s">
        <v>1670</v>
      </c>
      <c r="L121" s="1">
        <v>1</v>
      </c>
    </row>
    <row r="122" spans="11:12" x14ac:dyDescent="0.35">
      <c r="K122" s="3" t="s">
        <v>1431</v>
      </c>
      <c r="L122" s="1">
        <v>1</v>
      </c>
    </row>
    <row r="123" spans="11:12" x14ac:dyDescent="0.35">
      <c r="K123" s="3" t="s">
        <v>994</v>
      </c>
      <c r="L123" s="1">
        <v>1</v>
      </c>
    </row>
    <row r="124" spans="11:12" x14ac:dyDescent="0.35">
      <c r="K124" s="3" t="s">
        <v>230</v>
      </c>
      <c r="L124" s="1">
        <v>1</v>
      </c>
    </row>
    <row r="125" spans="11:12" x14ac:dyDescent="0.35">
      <c r="K125" s="3" t="s">
        <v>715</v>
      </c>
      <c r="L125" s="1">
        <v>1</v>
      </c>
    </row>
    <row r="126" spans="11:12" x14ac:dyDescent="0.35">
      <c r="K126" s="3" t="s">
        <v>555</v>
      </c>
      <c r="L126" s="1">
        <v>1</v>
      </c>
    </row>
    <row r="127" spans="11:12" x14ac:dyDescent="0.35">
      <c r="K127" s="3" t="s">
        <v>525</v>
      </c>
      <c r="L127" s="1">
        <v>1</v>
      </c>
    </row>
    <row r="128" spans="11:12" x14ac:dyDescent="0.35">
      <c r="K128" s="3" t="s">
        <v>1439</v>
      </c>
      <c r="L128" s="1">
        <v>1</v>
      </c>
    </row>
    <row r="129" spans="11:12" x14ac:dyDescent="0.35">
      <c r="K129" s="3" t="s">
        <v>1391</v>
      </c>
      <c r="L129" s="1">
        <v>1</v>
      </c>
    </row>
    <row r="130" spans="11:12" x14ac:dyDescent="0.35">
      <c r="K130" s="3" t="s">
        <v>1301</v>
      </c>
      <c r="L130" s="1">
        <v>1</v>
      </c>
    </row>
    <row r="131" spans="11:12" x14ac:dyDescent="0.35">
      <c r="K131" s="3" t="s">
        <v>1530</v>
      </c>
      <c r="L131" s="1">
        <v>1</v>
      </c>
    </row>
    <row r="132" spans="11:12" x14ac:dyDescent="0.35">
      <c r="K132" s="3" t="s">
        <v>455</v>
      </c>
      <c r="L132" s="1">
        <v>1</v>
      </c>
    </row>
    <row r="133" spans="11:12" x14ac:dyDescent="0.35">
      <c r="K133" s="3" t="s">
        <v>298</v>
      </c>
      <c r="L133" s="1">
        <v>1</v>
      </c>
    </row>
    <row r="134" spans="11:12" x14ac:dyDescent="0.35">
      <c r="K134" s="3" t="s">
        <v>1265</v>
      </c>
      <c r="L134" s="1">
        <v>1</v>
      </c>
    </row>
    <row r="135" spans="11:12" x14ac:dyDescent="0.35">
      <c r="K135" s="3" t="s">
        <v>895</v>
      </c>
      <c r="L135" s="1">
        <v>1</v>
      </c>
    </row>
    <row r="136" spans="11:12" x14ac:dyDescent="0.35">
      <c r="K136" s="3" t="s">
        <v>598</v>
      </c>
      <c r="L136" s="1">
        <v>1</v>
      </c>
    </row>
    <row r="137" spans="11:12" x14ac:dyDescent="0.35">
      <c r="K137" s="3" t="s">
        <v>156</v>
      </c>
      <c r="L137" s="1">
        <v>1</v>
      </c>
    </row>
    <row r="138" spans="11:12" x14ac:dyDescent="0.35">
      <c r="K138" s="3" t="s">
        <v>1588</v>
      </c>
      <c r="L138" s="1">
        <v>1</v>
      </c>
    </row>
    <row r="139" spans="11:12" x14ac:dyDescent="0.35">
      <c r="K139" s="3" t="s">
        <v>589</v>
      </c>
      <c r="L139" s="1">
        <v>1</v>
      </c>
    </row>
    <row r="140" spans="11:12" x14ac:dyDescent="0.35">
      <c r="K140" s="3" t="s">
        <v>920</v>
      </c>
      <c r="L140" s="1">
        <v>1</v>
      </c>
    </row>
    <row r="141" spans="11:12" x14ac:dyDescent="0.35">
      <c r="K141" s="3" t="s">
        <v>1557</v>
      </c>
      <c r="L141" s="1">
        <v>1</v>
      </c>
    </row>
    <row r="142" spans="11:12" x14ac:dyDescent="0.35">
      <c r="K142" s="3" t="s">
        <v>1107</v>
      </c>
      <c r="L142" s="1">
        <v>1</v>
      </c>
    </row>
    <row r="143" spans="11:12" x14ac:dyDescent="0.35">
      <c r="K143" s="3" t="s">
        <v>981</v>
      </c>
      <c r="L143" s="1">
        <v>1</v>
      </c>
    </row>
    <row r="144" spans="11:12" x14ac:dyDescent="0.35">
      <c r="K144" s="3" t="s">
        <v>1122</v>
      </c>
      <c r="L144" s="1">
        <v>1</v>
      </c>
    </row>
    <row r="145" spans="11:12" x14ac:dyDescent="0.35">
      <c r="K145" s="3" t="s">
        <v>1772</v>
      </c>
      <c r="L145" s="1">
        <v>1</v>
      </c>
    </row>
    <row r="146" spans="11:12" x14ac:dyDescent="0.35">
      <c r="K146" s="3" t="s">
        <v>1695</v>
      </c>
      <c r="L146" s="1">
        <v>1</v>
      </c>
    </row>
    <row r="147" spans="11:12" x14ac:dyDescent="0.35">
      <c r="K147" s="3" t="s">
        <v>261</v>
      </c>
      <c r="L147" s="1">
        <v>1</v>
      </c>
    </row>
    <row r="148" spans="11:12" x14ac:dyDescent="0.35">
      <c r="K148" s="3" t="s">
        <v>87</v>
      </c>
      <c r="L148" s="1">
        <v>1</v>
      </c>
    </row>
    <row r="149" spans="11:12" x14ac:dyDescent="0.35">
      <c r="K149" s="3" t="s">
        <v>1144</v>
      </c>
      <c r="L149" s="1">
        <v>1</v>
      </c>
    </row>
    <row r="150" spans="11:12" x14ac:dyDescent="0.35">
      <c r="K150" s="3" t="s">
        <v>1573</v>
      </c>
      <c r="L150" s="1">
        <v>1</v>
      </c>
    </row>
    <row r="151" spans="11:12" x14ac:dyDescent="0.35">
      <c r="K151" s="3" t="s">
        <v>675</v>
      </c>
      <c r="L151" s="1">
        <v>1</v>
      </c>
    </row>
    <row r="152" spans="11:12" x14ac:dyDescent="0.35">
      <c r="K152" s="3" t="s">
        <v>1759</v>
      </c>
      <c r="L152" s="1">
        <v>1</v>
      </c>
    </row>
    <row r="153" spans="11:12" x14ac:dyDescent="0.35">
      <c r="K153" s="3" t="s">
        <v>165</v>
      </c>
      <c r="L153" s="1">
        <v>1</v>
      </c>
    </row>
    <row r="154" spans="11:12" x14ac:dyDescent="0.35">
      <c r="K154" s="3" t="s">
        <v>827</v>
      </c>
      <c r="L154" s="1">
        <v>1</v>
      </c>
    </row>
    <row r="155" spans="11:12" x14ac:dyDescent="0.35">
      <c r="K155" s="3" t="s">
        <v>1472</v>
      </c>
      <c r="L155" s="1">
        <v>1</v>
      </c>
    </row>
    <row r="156" spans="11:12" x14ac:dyDescent="0.35">
      <c r="K156" s="3" t="s">
        <v>463</v>
      </c>
      <c r="L156" s="1">
        <v>1</v>
      </c>
    </row>
    <row r="157" spans="11:12" x14ac:dyDescent="0.35">
      <c r="K157" s="3" t="s">
        <v>129</v>
      </c>
      <c r="L157" s="1">
        <v>1</v>
      </c>
    </row>
    <row r="158" spans="11:12" x14ac:dyDescent="0.35">
      <c r="K158" s="3" t="s">
        <v>1965</v>
      </c>
      <c r="L158" s="1">
        <v>1</v>
      </c>
    </row>
    <row r="159" spans="11:12" x14ac:dyDescent="0.35">
      <c r="K159" s="3" t="s">
        <v>282</v>
      </c>
      <c r="L159" s="1">
        <v>1</v>
      </c>
    </row>
    <row r="160" spans="11:12" x14ac:dyDescent="0.35">
      <c r="K160" s="3" t="s">
        <v>1079</v>
      </c>
      <c r="L160" s="1">
        <v>1</v>
      </c>
    </row>
    <row r="161" spans="11:12" x14ac:dyDescent="0.35">
      <c r="K161" s="3" t="s">
        <v>1580</v>
      </c>
      <c r="L161" s="1">
        <v>1</v>
      </c>
    </row>
    <row r="162" spans="11:12" x14ac:dyDescent="0.35">
      <c r="K162" s="3" t="s">
        <v>1014</v>
      </c>
      <c r="L162" s="1">
        <v>1</v>
      </c>
    </row>
    <row r="163" spans="11:12" x14ac:dyDescent="0.35">
      <c r="K163" s="3" t="s">
        <v>940</v>
      </c>
      <c r="L163" s="1">
        <v>1</v>
      </c>
    </row>
    <row r="164" spans="11:12" x14ac:dyDescent="0.35">
      <c r="K164" s="3" t="s">
        <v>737</v>
      </c>
      <c r="L164" s="1">
        <v>1</v>
      </c>
    </row>
    <row r="165" spans="11:12" x14ac:dyDescent="0.35">
      <c r="K165" s="3" t="s">
        <v>332</v>
      </c>
      <c r="L165" s="1">
        <v>1</v>
      </c>
    </row>
    <row r="166" spans="11:12" x14ac:dyDescent="0.35">
      <c r="K166" s="3" t="s">
        <v>215</v>
      </c>
      <c r="L166" s="1">
        <v>1</v>
      </c>
    </row>
    <row r="167" spans="11:12" x14ac:dyDescent="0.35">
      <c r="K167" s="3" t="s">
        <v>1498</v>
      </c>
      <c r="L167" s="1">
        <v>1</v>
      </c>
    </row>
    <row r="168" spans="11:12" x14ac:dyDescent="0.35">
      <c r="K168" s="3" t="s">
        <v>2030</v>
      </c>
      <c r="L168" s="1">
        <v>1</v>
      </c>
    </row>
    <row r="169" spans="11:12" x14ac:dyDescent="0.35">
      <c r="K169" s="3" t="s">
        <v>614</v>
      </c>
      <c r="L169" s="1">
        <v>1</v>
      </c>
    </row>
    <row r="170" spans="11:12" x14ac:dyDescent="0.35">
      <c r="K170" s="3" t="s">
        <v>1287</v>
      </c>
      <c r="L170" s="1">
        <v>1</v>
      </c>
    </row>
    <row r="171" spans="11:12" x14ac:dyDescent="0.35">
      <c r="K171" s="3" t="s">
        <v>1235</v>
      </c>
      <c r="L171" s="1">
        <v>1</v>
      </c>
    </row>
    <row r="172" spans="11:12" x14ac:dyDescent="0.35">
      <c r="K172" s="3" t="s">
        <v>1622</v>
      </c>
      <c r="L172" s="1">
        <v>1</v>
      </c>
    </row>
    <row r="173" spans="11:12" x14ac:dyDescent="0.35">
      <c r="K173" s="3" t="s">
        <v>796</v>
      </c>
      <c r="L173" s="1">
        <v>1</v>
      </c>
    </row>
    <row r="174" spans="11:12" x14ac:dyDescent="0.35">
      <c r="K174" s="3" t="s">
        <v>1258</v>
      </c>
      <c r="L174" s="1">
        <v>1</v>
      </c>
    </row>
    <row r="175" spans="11:12" x14ac:dyDescent="0.35">
      <c r="K175" s="3" t="s">
        <v>863</v>
      </c>
      <c r="L175" s="1">
        <v>1</v>
      </c>
    </row>
    <row r="176" spans="11:12" x14ac:dyDescent="0.35">
      <c r="K176" s="3" t="s">
        <v>1744</v>
      </c>
      <c r="L176" s="1">
        <v>1</v>
      </c>
    </row>
    <row r="177" spans="11:12" x14ac:dyDescent="0.35">
      <c r="K177" s="3" t="s">
        <v>1398</v>
      </c>
      <c r="L177" s="1">
        <v>1</v>
      </c>
    </row>
    <row r="178" spans="11:12" x14ac:dyDescent="0.35">
      <c r="K178" s="3" t="s">
        <v>722</v>
      </c>
      <c r="L178" s="1">
        <v>1</v>
      </c>
    </row>
    <row r="179" spans="11:12" x14ac:dyDescent="0.35">
      <c r="K179" s="3" t="s">
        <v>1370</v>
      </c>
      <c r="L179" s="1">
        <v>1</v>
      </c>
    </row>
    <row r="180" spans="11:12" x14ac:dyDescent="0.35">
      <c r="K180" s="3" t="s">
        <v>1844</v>
      </c>
      <c r="L180" s="1">
        <v>1</v>
      </c>
    </row>
    <row r="181" spans="11:12" x14ac:dyDescent="0.35">
      <c r="K181" s="3" t="s">
        <v>652</v>
      </c>
      <c r="L181" s="1">
        <v>1</v>
      </c>
    </row>
    <row r="182" spans="11:12" x14ac:dyDescent="0.35">
      <c r="K182" s="3" t="s">
        <v>1295</v>
      </c>
      <c r="L182" s="1">
        <v>1</v>
      </c>
    </row>
    <row r="183" spans="11:12" x14ac:dyDescent="0.35">
      <c r="K183" s="3" t="s">
        <v>1731</v>
      </c>
      <c r="L183" s="1">
        <v>1</v>
      </c>
    </row>
    <row r="184" spans="11:12" x14ac:dyDescent="0.35">
      <c r="K184" s="3" t="s">
        <v>2009</v>
      </c>
      <c r="L184" s="1">
        <v>1</v>
      </c>
    </row>
    <row r="185" spans="11:12" x14ac:dyDescent="0.35">
      <c r="K185" s="3" t="s">
        <v>190</v>
      </c>
      <c r="L185" s="1">
        <v>1</v>
      </c>
    </row>
    <row r="186" spans="11:12" x14ac:dyDescent="0.35">
      <c r="K186" s="3" t="s">
        <v>121</v>
      </c>
      <c r="L186" s="1">
        <v>1</v>
      </c>
    </row>
    <row r="187" spans="11:12" x14ac:dyDescent="0.35">
      <c r="K187" s="3" t="s">
        <v>1908</v>
      </c>
      <c r="L187" s="1">
        <v>1</v>
      </c>
    </row>
    <row r="188" spans="11:12" x14ac:dyDescent="0.35">
      <c r="K188" s="3" t="s">
        <v>1608</v>
      </c>
      <c r="L188" s="1">
        <v>1</v>
      </c>
    </row>
    <row r="189" spans="11:12" x14ac:dyDescent="0.35">
      <c r="K189" s="3" t="s">
        <v>397</v>
      </c>
      <c r="L189" s="1">
        <v>1</v>
      </c>
    </row>
    <row r="190" spans="11:12" x14ac:dyDescent="0.35">
      <c r="K190" s="3" t="s">
        <v>1251</v>
      </c>
      <c r="L190" s="1">
        <v>1</v>
      </c>
    </row>
    <row r="191" spans="11:12" x14ac:dyDescent="0.35">
      <c r="K191" s="3" t="s">
        <v>362</v>
      </c>
      <c r="L191" s="1">
        <v>1</v>
      </c>
    </row>
    <row r="192" spans="11:12" x14ac:dyDescent="0.35">
      <c r="K192" s="3" t="s">
        <v>1175</v>
      </c>
      <c r="L192" s="1">
        <v>1</v>
      </c>
    </row>
    <row r="193" spans="11:12" x14ac:dyDescent="0.35">
      <c r="K193" s="3" t="s">
        <v>1779</v>
      </c>
      <c r="L193" s="1">
        <v>1</v>
      </c>
    </row>
    <row r="194" spans="11:12" x14ac:dyDescent="0.35">
      <c r="K194" s="3" t="s">
        <v>1064</v>
      </c>
      <c r="L194" s="1">
        <v>1</v>
      </c>
    </row>
    <row r="195" spans="11:12" x14ac:dyDescent="0.35">
      <c r="K195" s="3" t="s">
        <v>1831</v>
      </c>
      <c r="L195" s="1">
        <v>1</v>
      </c>
    </row>
    <row r="196" spans="11:12" x14ac:dyDescent="0.35">
      <c r="K196" s="3" t="s">
        <v>1213</v>
      </c>
      <c r="L196" s="1">
        <v>1</v>
      </c>
    </row>
    <row r="197" spans="11:12" x14ac:dyDescent="0.35">
      <c r="K197" s="3" t="s">
        <v>1642</v>
      </c>
      <c r="L197" s="1">
        <v>1</v>
      </c>
    </row>
    <row r="198" spans="11:12" x14ac:dyDescent="0.35">
      <c r="K198" s="3" t="s">
        <v>1445</v>
      </c>
      <c r="L198" s="1">
        <v>1</v>
      </c>
    </row>
    <row r="199" spans="11:12" x14ac:dyDescent="0.35">
      <c r="K199" s="3" t="s">
        <v>1504</v>
      </c>
      <c r="L199" s="1">
        <v>1</v>
      </c>
    </row>
    <row r="200" spans="11:12" x14ac:dyDescent="0.35">
      <c r="K200" s="3" t="s">
        <v>266</v>
      </c>
      <c r="L200" s="1">
        <v>1</v>
      </c>
    </row>
    <row r="201" spans="11:12" x14ac:dyDescent="0.35">
      <c r="K201" s="3" t="s">
        <v>414</v>
      </c>
      <c r="L201" s="1">
        <v>1</v>
      </c>
    </row>
    <row r="202" spans="11:12" x14ac:dyDescent="0.35">
      <c r="K202" s="3" t="s">
        <v>643</v>
      </c>
      <c r="L202" s="1">
        <v>1</v>
      </c>
    </row>
    <row r="203" spans="11:12" x14ac:dyDescent="0.35">
      <c r="K203" s="3" t="s">
        <v>1793</v>
      </c>
      <c r="L203" s="1">
        <v>1</v>
      </c>
    </row>
    <row r="204" spans="11:12" x14ac:dyDescent="0.35">
      <c r="K204" s="3" t="s">
        <v>1385</v>
      </c>
      <c r="L204" s="1">
        <v>1</v>
      </c>
    </row>
    <row r="205" spans="11:12" x14ac:dyDescent="0.35">
      <c r="K205" s="3" t="s">
        <v>1951</v>
      </c>
      <c r="L205" s="1">
        <v>1</v>
      </c>
    </row>
    <row r="206" spans="11:12" x14ac:dyDescent="0.35">
      <c r="K206" s="3" t="s">
        <v>901</v>
      </c>
      <c r="L206" s="1">
        <v>1</v>
      </c>
    </row>
    <row r="207" spans="11:12" x14ac:dyDescent="0.35">
      <c r="K207" s="3" t="s">
        <v>927</v>
      </c>
      <c r="L207" s="1">
        <v>1</v>
      </c>
    </row>
    <row r="208" spans="11:12" x14ac:dyDescent="0.35">
      <c r="K208" s="3" t="s">
        <v>1896</v>
      </c>
      <c r="L208" s="1">
        <v>1</v>
      </c>
    </row>
    <row r="209" spans="11:12" x14ac:dyDescent="0.35">
      <c r="K209" s="3" t="s">
        <v>1086</v>
      </c>
      <c r="L209" s="1">
        <v>1</v>
      </c>
    </row>
    <row r="210" spans="11:12" x14ac:dyDescent="0.35">
      <c r="K210" s="3" t="s">
        <v>666</v>
      </c>
      <c r="L210" s="1">
        <v>1</v>
      </c>
    </row>
    <row r="211" spans="11:12" x14ac:dyDescent="0.35">
      <c r="K211" s="3" t="s">
        <v>1199</v>
      </c>
      <c r="L211" s="1">
        <v>1</v>
      </c>
    </row>
    <row r="212" spans="11:12" x14ac:dyDescent="0.35">
      <c r="K212" s="3" t="s">
        <v>2043</v>
      </c>
      <c r="L212" s="1">
        <v>1</v>
      </c>
    </row>
    <row r="213" spans="11:12" x14ac:dyDescent="0.35">
      <c r="K213" s="3" t="s">
        <v>1923</v>
      </c>
      <c r="L213" s="1">
        <v>1</v>
      </c>
    </row>
    <row r="214" spans="11:12" x14ac:dyDescent="0.35">
      <c r="K214" s="3" t="s">
        <v>1151</v>
      </c>
      <c r="L214" s="1">
        <v>1</v>
      </c>
    </row>
    <row r="215" spans="11:12" x14ac:dyDescent="0.35">
      <c r="K215" s="3" t="s">
        <v>744</v>
      </c>
      <c r="L215" s="1">
        <v>1</v>
      </c>
    </row>
    <row r="216" spans="11:12" x14ac:dyDescent="0.35">
      <c r="K216" s="3" t="s">
        <v>804</v>
      </c>
      <c r="L216" s="1">
        <v>1</v>
      </c>
    </row>
    <row r="217" spans="11:12" x14ac:dyDescent="0.35">
      <c r="K217" s="3" t="s">
        <v>1307</v>
      </c>
      <c r="L217" s="1">
        <v>1</v>
      </c>
    </row>
    <row r="218" spans="11:12" x14ac:dyDescent="0.35">
      <c r="K218" s="3" t="s">
        <v>1318</v>
      </c>
      <c r="L218" s="1">
        <v>1</v>
      </c>
    </row>
    <row r="219" spans="11:12" x14ac:dyDescent="0.35">
      <c r="K219" s="3" t="s">
        <v>1115</v>
      </c>
      <c r="L219" s="1">
        <v>1</v>
      </c>
    </row>
    <row r="220" spans="11:12" x14ac:dyDescent="0.35">
      <c r="K220" s="3" t="s">
        <v>1028</v>
      </c>
      <c r="L220" s="1">
        <v>1</v>
      </c>
    </row>
    <row r="221" spans="11:12" x14ac:dyDescent="0.35">
      <c r="K221" s="3" t="s">
        <v>1008</v>
      </c>
      <c r="L221" s="1">
        <v>1</v>
      </c>
    </row>
    <row r="222" spans="11:12" x14ac:dyDescent="0.35">
      <c r="K222" s="3" t="s">
        <v>1981</v>
      </c>
      <c r="L222" s="1">
        <v>1</v>
      </c>
    </row>
    <row r="223" spans="11:12" x14ac:dyDescent="0.35">
      <c r="K223" s="3" t="s">
        <v>1130</v>
      </c>
      <c r="L223" s="1">
        <v>1</v>
      </c>
    </row>
    <row r="224" spans="11:12" x14ac:dyDescent="0.35">
      <c r="K224" s="3" t="s">
        <v>1704</v>
      </c>
      <c r="L224" s="1">
        <v>1</v>
      </c>
    </row>
    <row r="225" spans="11:12" x14ac:dyDescent="0.35">
      <c r="K225" s="3" t="s">
        <v>1676</v>
      </c>
      <c r="L225" s="1">
        <v>1</v>
      </c>
    </row>
    <row r="226" spans="11:12" x14ac:dyDescent="0.35">
      <c r="K226" s="3" t="s">
        <v>626</v>
      </c>
      <c r="L226" s="1">
        <v>1</v>
      </c>
    </row>
    <row r="227" spans="11:12" x14ac:dyDescent="0.35">
      <c r="K227" s="3" t="s">
        <v>1361</v>
      </c>
      <c r="L227" s="1">
        <v>1</v>
      </c>
    </row>
    <row r="228" spans="11:12" x14ac:dyDescent="0.35">
      <c r="K228" s="3" t="s">
        <v>2037</v>
      </c>
      <c r="L228" s="1">
        <v>1</v>
      </c>
    </row>
    <row r="229" spans="11:12" x14ac:dyDescent="0.35">
      <c r="K229" s="3" t="s">
        <v>729</v>
      </c>
      <c r="L229" s="1">
        <v>1</v>
      </c>
    </row>
    <row r="230" spans="11:12" x14ac:dyDescent="0.35">
      <c r="K230" s="3" t="s">
        <v>1466</v>
      </c>
      <c r="L230" s="1">
        <v>1</v>
      </c>
    </row>
    <row r="231" spans="11:12" x14ac:dyDescent="0.35">
      <c r="K231" s="3" t="s">
        <v>1650</v>
      </c>
      <c r="L231" s="1">
        <v>1</v>
      </c>
    </row>
    <row r="232" spans="11:12" x14ac:dyDescent="0.35">
      <c r="K232" s="3" t="s">
        <v>1191</v>
      </c>
      <c r="L232" s="1">
        <v>1</v>
      </c>
    </row>
    <row r="233" spans="11:12" x14ac:dyDescent="0.35">
      <c r="K233" s="3" t="s">
        <v>1663</v>
      </c>
      <c r="L233" s="1">
        <v>1</v>
      </c>
    </row>
    <row r="234" spans="11:12" x14ac:dyDescent="0.35">
      <c r="K234" s="3" t="s">
        <v>1752</v>
      </c>
      <c r="L234" s="1">
        <v>1</v>
      </c>
    </row>
    <row r="235" spans="11:12" x14ac:dyDescent="0.35">
      <c r="K235" s="3" t="s">
        <v>252</v>
      </c>
      <c r="L235" s="1">
        <v>1</v>
      </c>
    </row>
    <row r="236" spans="11:12" x14ac:dyDescent="0.35">
      <c r="K236" s="3" t="s">
        <v>1943</v>
      </c>
      <c r="L236" s="1">
        <v>1</v>
      </c>
    </row>
    <row r="237" spans="11:12" x14ac:dyDescent="0.35">
      <c r="K237" s="3" t="s">
        <v>1594</v>
      </c>
      <c r="L237" s="1">
        <v>1</v>
      </c>
    </row>
    <row r="238" spans="11:12" x14ac:dyDescent="0.35">
      <c r="K238" s="3" t="s">
        <v>1523</v>
      </c>
      <c r="L238" s="1">
        <v>1</v>
      </c>
    </row>
    <row r="239" spans="11:12" x14ac:dyDescent="0.35">
      <c r="K239" s="3" t="s">
        <v>1158</v>
      </c>
      <c r="L239" s="1">
        <v>1</v>
      </c>
    </row>
    <row r="240" spans="11:12" x14ac:dyDescent="0.35">
      <c r="K240" s="3" t="s">
        <v>1512</v>
      </c>
      <c r="L240" s="1">
        <v>1</v>
      </c>
    </row>
    <row r="241" spans="11:12" x14ac:dyDescent="0.35">
      <c r="K241" s="3" t="s">
        <v>1051</v>
      </c>
      <c r="L241" s="1">
        <v>1</v>
      </c>
    </row>
    <row r="242" spans="11:12" x14ac:dyDescent="0.35">
      <c r="K242" s="3" t="s">
        <v>353</v>
      </c>
      <c r="L242" s="1">
        <v>1</v>
      </c>
    </row>
    <row r="243" spans="11:12" x14ac:dyDescent="0.35">
      <c r="K243" s="3" t="s">
        <v>1682</v>
      </c>
      <c r="L243" s="1">
        <v>1</v>
      </c>
    </row>
    <row r="244" spans="11:12" x14ac:dyDescent="0.35">
      <c r="K244" s="3" t="s">
        <v>371</v>
      </c>
      <c r="L244" s="1">
        <v>1</v>
      </c>
    </row>
    <row r="245" spans="11:12" x14ac:dyDescent="0.35">
      <c r="K245" s="3" t="s">
        <v>634</v>
      </c>
      <c r="L245" s="1">
        <v>1</v>
      </c>
    </row>
    <row r="246" spans="11:12" x14ac:dyDescent="0.35">
      <c r="K246" s="3" t="s">
        <v>1545</v>
      </c>
      <c r="L246" s="1">
        <v>1</v>
      </c>
    </row>
    <row r="247" spans="11:12" x14ac:dyDescent="0.35">
      <c r="K247" s="3" t="s">
        <v>1929</v>
      </c>
      <c r="L247" s="1">
        <v>1</v>
      </c>
    </row>
    <row r="248" spans="11:12" x14ac:dyDescent="0.35">
      <c r="K248" s="3" t="s">
        <v>659</v>
      </c>
      <c r="L248" s="1">
        <v>1</v>
      </c>
    </row>
    <row r="249" spans="11:12" x14ac:dyDescent="0.35">
      <c r="K249" s="3" t="s">
        <v>60</v>
      </c>
      <c r="L249" s="1">
        <v>1</v>
      </c>
    </row>
    <row r="250" spans="11:12" x14ac:dyDescent="0.35">
      <c r="K250" s="3" t="s">
        <v>683</v>
      </c>
      <c r="L250" s="1">
        <v>1</v>
      </c>
    </row>
    <row r="251" spans="11:12" x14ac:dyDescent="0.35">
      <c r="K251" s="3" t="s">
        <v>968</v>
      </c>
      <c r="L251" s="1">
        <v>1</v>
      </c>
    </row>
    <row r="252" spans="11:12" x14ac:dyDescent="0.35">
      <c r="K252" s="3" t="s">
        <v>313</v>
      </c>
      <c r="L252" s="1">
        <v>1</v>
      </c>
    </row>
    <row r="253" spans="11:12" x14ac:dyDescent="0.35">
      <c r="K253" s="3" t="s">
        <v>547</v>
      </c>
      <c r="L253" s="1">
        <v>1</v>
      </c>
    </row>
    <row r="254" spans="11:12" x14ac:dyDescent="0.35">
      <c r="K254" s="3" t="s">
        <v>471</v>
      </c>
      <c r="L254" s="1">
        <v>1</v>
      </c>
    </row>
    <row r="255" spans="11:12" x14ac:dyDescent="0.35">
      <c r="K255" s="3" t="s">
        <v>1565</v>
      </c>
      <c r="L255" s="1">
        <v>1</v>
      </c>
    </row>
    <row r="256" spans="11:12" x14ac:dyDescent="0.35">
      <c r="K256" s="3" t="s">
        <v>843</v>
      </c>
      <c r="L256" s="1">
        <v>1</v>
      </c>
    </row>
    <row r="257" spans="11:12" x14ac:dyDescent="0.35">
      <c r="K257" s="3" t="s">
        <v>1971</v>
      </c>
      <c r="L257" s="1">
        <v>1</v>
      </c>
    </row>
    <row r="258" spans="11:12" x14ac:dyDescent="0.35">
      <c r="K258" s="3" t="s">
        <v>1415</v>
      </c>
      <c r="L258" s="1">
        <v>1</v>
      </c>
    </row>
    <row r="259" spans="11:12" x14ac:dyDescent="0.35">
      <c r="K259" s="3" t="s">
        <v>2023</v>
      </c>
      <c r="L259" s="1">
        <v>1</v>
      </c>
    </row>
    <row r="260" spans="11:12" x14ac:dyDescent="0.35">
      <c r="K260" s="3" t="s">
        <v>1019</v>
      </c>
      <c r="L260" s="1">
        <v>1</v>
      </c>
    </row>
    <row r="261" spans="11:12" x14ac:dyDescent="0.35">
      <c r="K261" s="3" t="s">
        <v>757</v>
      </c>
      <c r="L261" s="1">
        <v>1</v>
      </c>
    </row>
    <row r="262" spans="11:12" x14ac:dyDescent="0.35">
      <c r="K262" s="3" t="s">
        <v>1875</v>
      </c>
      <c r="L262" s="1">
        <v>1</v>
      </c>
    </row>
    <row r="263" spans="11:12" x14ac:dyDescent="0.35">
      <c r="K263" s="3" t="s">
        <v>1403</v>
      </c>
      <c r="L263" s="1">
        <v>1</v>
      </c>
    </row>
    <row r="264" spans="11:12" x14ac:dyDescent="0.35">
      <c r="K264" s="3" t="s">
        <v>338</v>
      </c>
      <c r="L264" s="1">
        <v>1</v>
      </c>
    </row>
    <row r="265" spans="11:12" x14ac:dyDescent="0.35">
      <c r="K265" s="3" t="s">
        <v>1100</v>
      </c>
      <c r="L265" s="1">
        <v>1</v>
      </c>
    </row>
    <row r="266" spans="11:12" x14ac:dyDescent="0.35">
      <c r="K266" s="3" t="s">
        <v>487</v>
      </c>
      <c r="L266" s="1">
        <v>1</v>
      </c>
    </row>
    <row r="267" spans="11:12" x14ac:dyDescent="0.35">
      <c r="K267" s="3" t="s">
        <v>818</v>
      </c>
      <c r="L267" s="1">
        <v>1</v>
      </c>
    </row>
    <row r="268" spans="11:12" x14ac:dyDescent="0.35">
      <c r="K268" s="3" t="s">
        <v>1737</v>
      </c>
      <c r="L268" s="1">
        <v>1</v>
      </c>
    </row>
    <row r="269" spans="11:12" x14ac:dyDescent="0.35">
      <c r="K269" s="3" t="s">
        <v>780</v>
      </c>
      <c r="L269" s="1">
        <v>1</v>
      </c>
    </row>
    <row r="270" spans="11:12" x14ac:dyDescent="0.35">
      <c r="K270" s="3" t="s">
        <v>517</v>
      </c>
      <c r="L270" s="1">
        <v>1</v>
      </c>
    </row>
    <row r="271" spans="11:12" x14ac:dyDescent="0.35">
      <c r="K271" s="3" t="s">
        <v>700</v>
      </c>
      <c r="L271" s="1">
        <v>1</v>
      </c>
    </row>
    <row r="272" spans="11:12" x14ac:dyDescent="0.35">
      <c r="K272" s="3" t="s">
        <v>30</v>
      </c>
      <c r="L272" s="1">
        <v>1</v>
      </c>
    </row>
    <row r="273" spans="11:12" x14ac:dyDescent="0.35">
      <c r="K273" s="3" t="s">
        <v>1206</v>
      </c>
      <c r="L273" s="1">
        <v>1</v>
      </c>
    </row>
    <row r="274" spans="11:12" x14ac:dyDescent="0.35">
      <c r="K274" s="3" t="s">
        <v>1786</v>
      </c>
      <c r="L274" s="1">
        <v>1</v>
      </c>
    </row>
    <row r="275" spans="11:12" x14ac:dyDescent="0.35">
      <c r="K275" s="3" t="s">
        <v>1862</v>
      </c>
      <c r="L275" s="1">
        <v>1</v>
      </c>
    </row>
    <row r="276" spans="11:12" x14ac:dyDescent="0.35">
      <c r="K276" s="3" t="s">
        <v>69</v>
      </c>
      <c r="L276" s="1">
        <v>1</v>
      </c>
    </row>
    <row r="277" spans="11:12" x14ac:dyDescent="0.35">
      <c r="K277" s="3" t="s">
        <v>1423</v>
      </c>
      <c r="L277" s="1">
        <v>1</v>
      </c>
    </row>
    <row r="278" spans="11:12" x14ac:dyDescent="0.35">
      <c r="K278" s="3" t="s">
        <v>97</v>
      </c>
      <c r="L278" s="1">
        <v>1</v>
      </c>
    </row>
    <row r="279" spans="11:12" x14ac:dyDescent="0.35">
      <c r="K279" s="3" t="s">
        <v>914</v>
      </c>
      <c r="L279" s="1">
        <v>1</v>
      </c>
    </row>
    <row r="280" spans="11:12" x14ac:dyDescent="0.35">
      <c r="K280" s="3" t="s">
        <v>54</v>
      </c>
      <c r="L280" s="1">
        <v>1</v>
      </c>
    </row>
    <row r="281" spans="11:12" x14ac:dyDescent="0.35">
      <c r="K281" s="3" t="s">
        <v>1616</v>
      </c>
      <c r="L281" s="1">
        <v>1</v>
      </c>
    </row>
    <row r="282" spans="11:12" x14ac:dyDescent="0.35">
      <c r="K282" s="3" t="s">
        <v>1717</v>
      </c>
      <c r="L282" s="1">
        <v>1</v>
      </c>
    </row>
    <row r="283" spans="11:12" x14ac:dyDescent="0.35">
      <c r="K283" s="3" t="s">
        <v>564</v>
      </c>
      <c r="L283" s="1">
        <v>1</v>
      </c>
    </row>
    <row r="284" spans="11:12" x14ac:dyDescent="0.35">
      <c r="K284" s="3" t="s">
        <v>1628</v>
      </c>
      <c r="L284" s="1">
        <v>1</v>
      </c>
    </row>
    <row r="285" spans="11:12" x14ac:dyDescent="0.35">
      <c r="K285" s="3" t="s">
        <v>1279</v>
      </c>
      <c r="L285" s="1">
        <v>1</v>
      </c>
    </row>
    <row r="286" spans="11:12" x14ac:dyDescent="0.35">
      <c r="K286" s="3" t="s">
        <v>1002</v>
      </c>
      <c r="L286" s="1">
        <v>1</v>
      </c>
    </row>
    <row r="287" spans="11:12" x14ac:dyDescent="0.35">
      <c r="K287" s="3" t="s">
        <v>1519</v>
      </c>
      <c r="L287" s="1">
        <v>1</v>
      </c>
    </row>
    <row r="288" spans="11:12" x14ac:dyDescent="0.35">
      <c r="K288" s="3" t="s">
        <v>962</v>
      </c>
      <c r="L288" s="1">
        <v>1</v>
      </c>
    </row>
    <row r="289" spans="11:12" x14ac:dyDescent="0.35">
      <c r="K289" s="3" t="s">
        <v>1341</v>
      </c>
      <c r="L289" s="1">
        <v>1</v>
      </c>
    </row>
    <row r="290" spans="11:12" x14ac:dyDescent="0.35">
      <c r="K290" s="3" t="s">
        <v>879</v>
      </c>
      <c r="L290" s="1">
        <v>1</v>
      </c>
    </row>
    <row r="291" spans="11:12" x14ac:dyDescent="0.35">
      <c r="K291" s="3" t="s">
        <v>1244</v>
      </c>
      <c r="L291" s="1">
        <v>1</v>
      </c>
    </row>
    <row r="292" spans="11:12" x14ac:dyDescent="0.35">
      <c r="K292" s="3" t="s">
        <v>1045</v>
      </c>
      <c r="L292" s="1">
        <v>1</v>
      </c>
    </row>
    <row r="293" spans="11:12" x14ac:dyDescent="0.35">
      <c r="K293" s="3" t="s">
        <v>389</v>
      </c>
      <c r="L293" s="1">
        <v>1</v>
      </c>
    </row>
    <row r="294" spans="11:12" x14ac:dyDescent="0.35">
      <c r="K294" s="3" t="s">
        <v>39</v>
      </c>
      <c r="L294" s="1">
        <v>1</v>
      </c>
    </row>
    <row r="295" spans="11:12" x14ac:dyDescent="0.35">
      <c r="K295" s="3" t="s">
        <v>1915</v>
      </c>
      <c r="L295" s="1">
        <v>1</v>
      </c>
    </row>
    <row r="296" spans="11:12" x14ac:dyDescent="0.35">
      <c r="K296" s="3" t="s">
        <v>173</v>
      </c>
      <c r="L296" s="1">
        <v>1</v>
      </c>
    </row>
    <row r="297" spans="11:12" x14ac:dyDescent="0.35">
      <c r="K297" s="3" t="s">
        <v>707</v>
      </c>
      <c r="L297" s="1">
        <v>1</v>
      </c>
    </row>
    <row r="298" spans="11:12" x14ac:dyDescent="0.35">
      <c r="K298" s="3" t="s">
        <v>1539</v>
      </c>
      <c r="L298" s="1">
        <v>1</v>
      </c>
    </row>
    <row r="299" spans="11:12" x14ac:dyDescent="0.35">
      <c r="K299" s="3" t="s">
        <v>1656</v>
      </c>
      <c r="L299" s="1">
        <v>1</v>
      </c>
    </row>
    <row r="300" spans="11:12" x14ac:dyDescent="0.35">
      <c r="K300" s="3" t="s">
        <v>2051</v>
      </c>
      <c r="L300" s="1">
        <v>263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BC82A-19F6-42A0-8500-AD3B100A9FF5}">
  <dimension ref="A1:AH78"/>
  <sheetViews>
    <sheetView tabSelected="1" topLeftCell="A3" zoomScale="41" workbookViewId="0">
      <selection activeCell="A2" sqref="A2"/>
    </sheetView>
  </sheetViews>
  <sheetFormatPr defaultRowHeight="14.5" x14ac:dyDescent="0.35"/>
  <cols>
    <col min="1" max="34" width="8.7265625" style="6"/>
  </cols>
  <sheetData>
    <row r="1" spans="1:34" x14ac:dyDescent="0.35">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5"/>
      <c r="AF1" s="5"/>
      <c r="AG1" s="5"/>
      <c r="AH1" s="5"/>
    </row>
    <row r="2" spans="1:34" x14ac:dyDescent="0.3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5"/>
      <c r="AF2" s="5"/>
      <c r="AG2" s="5"/>
      <c r="AH2" s="5"/>
    </row>
    <row r="3" spans="1:34" x14ac:dyDescent="0.35">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5"/>
      <c r="AF3" s="5"/>
      <c r="AG3" s="5"/>
      <c r="AH3" s="5"/>
    </row>
    <row r="4" spans="1:34" x14ac:dyDescent="0.3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5"/>
      <c r="AF4" s="5"/>
      <c r="AG4" s="5"/>
      <c r="AH4" s="5"/>
    </row>
    <row r="5" spans="1:34" x14ac:dyDescent="0.3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5"/>
      <c r="AF5" s="5"/>
      <c r="AG5" s="5"/>
      <c r="AH5" s="5"/>
    </row>
    <row r="6" spans="1:34" x14ac:dyDescent="0.3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5"/>
      <c r="AF6" s="5"/>
      <c r="AG6" s="5"/>
      <c r="AH6" s="5"/>
    </row>
    <row r="7" spans="1:34" x14ac:dyDescent="0.3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5"/>
      <c r="AF7" s="5"/>
      <c r="AG7" s="5"/>
      <c r="AH7" s="5"/>
    </row>
    <row r="8" spans="1:34" x14ac:dyDescent="0.3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5"/>
      <c r="AF8" s="5"/>
      <c r="AG8" s="5"/>
      <c r="AH8" s="5"/>
    </row>
    <row r="9" spans="1:34" x14ac:dyDescent="0.3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5"/>
      <c r="AF9" s="5"/>
      <c r="AG9" s="5"/>
      <c r="AH9" s="5"/>
    </row>
    <row r="10" spans="1:34" x14ac:dyDescent="0.3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5"/>
      <c r="AF10" s="5"/>
      <c r="AG10" s="5"/>
      <c r="AH10" s="5"/>
    </row>
    <row r="11" spans="1:34" x14ac:dyDescent="0.3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5"/>
      <c r="AF11" s="5"/>
      <c r="AG11" s="5"/>
      <c r="AH11" s="5"/>
    </row>
    <row r="12" spans="1:34" x14ac:dyDescent="0.3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5"/>
      <c r="AF12" s="5"/>
      <c r="AG12" s="5"/>
      <c r="AH12" s="5"/>
    </row>
    <row r="13" spans="1:34" x14ac:dyDescent="0.3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5"/>
      <c r="AF13" s="5"/>
      <c r="AG13" s="5"/>
      <c r="AH13" s="5"/>
    </row>
    <row r="14" spans="1:34" x14ac:dyDescent="0.3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5"/>
      <c r="AF14" s="5"/>
      <c r="AG14" s="5"/>
      <c r="AH14" s="5"/>
    </row>
    <row r="15" spans="1:34" x14ac:dyDescent="0.3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5"/>
      <c r="AF15" s="5"/>
      <c r="AG15" s="5"/>
      <c r="AH15" s="5"/>
    </row>
    <row r="16" spans="1:34" x14ac:dyDescent="0.3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5"/>
      <c r="AF16" s="5"/>
      <c r="AG16" s="5"/>
      <c r="AH16" s="5"/>
    </row>
    <row r="17" spans="1:34" x14ac:dyDescent="0.3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5"/>
      <c r="AF17" s="5"/>
      <c r="AG17" s="5"/>
      <c r="AH17" s="5"/>
    </row>
    <row r="18" spans="1:34" x14ac:dyDescent="0.3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5"/>
      <c r="AF18" s="5"/>
      <c r="AG18" s="5"/>
      <c r="AH18" s="5"/>
    </row>
    <row r="19" spans="1:34" x14ac:dyDescent="0.3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5"/>
      <c r="AF19" s="5"/>
      <c r="AG19" s="5"/>
      <c r="AH19" s="5"/>
    </row>
    <row r="20" spans="1:34" x14ac:dyDescent="0.3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5"/>
      <c r="AF20" s="5"/>
      <c r="AG20" s="5"/>
      <c r="AH20" s="5"/>
    </row>
    <row r="21" spans="1:34" x14ac:dyDescent="0.3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5"/>
      <c r="AF21" s="5"/>
      <c r="AG21" s="5"/>
      <c r="AH21" s="5"/>
    </row>
    <row r="22" spans="1:34" x14ac:dyDescent="0.3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5"/>
      <c r="AF22" s="5"/>
      <c r="AG22" s="5"/>
      <c r="AH22" s="5"/>
    </row>
    <row r="23" spans="1:34" x14ac:dyDescent="0.3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5"/>
      <c r="AF23" s="5"/>
      <c r="AG23" s="5"/>
      <c r="AH23" s="5"/>
    </row>
    <row r="24" spans="1:34" x14ac:dyDescent="0.3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5"/>
      <c r="AF24" s="5"/>
      <c r="AG24" s="5"/>
      <c r="AH24" s="5"/>
    </row>
    <row r="25" spans="1:34" x14ac:dyDescent="0.3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5"/>
      <c r="AF25" s="5"/>
      <c r="AG25" s="5"/>
      <c r="AH25" s="5"/>
    </row>
    <row r="26" spans="1:34" x14ac:dyDescent="0.3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5"/>
      <c r="AF26" s="5"/>
      <c r="AG26" s="5"/>
      <c r="AH26" s="5"/>
    </row>
    <row r="27" spans="1:34" x14ac:dyDescent="0.3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5"/>
      <c r="AF27" s="5"/>
      <c r="AG27" s="5"/>
      <c r="AH27" s="5"/>
    </row>
    <row r="28" spans="1:34" x14ac:dyDescent="0.3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5"/>
      <c r="AF28" s="5"/>
      <c r="AG28" s="5"/>
      <c r="AH28" s="5"/>
    </row>
    <row r="29" spans="1:34" x14ac:dyDescent="0.3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5"/>
      <c r="AF29" s="5"/>
      <c r="AG29" s="5"/>
      <c r="AH29" s="5"/>
    </row>
    <row r="30" spans="1:34" x14ac:dyDescent="0.3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5"/>
      <c r="AF30" s="5"/>
      <c r="AG30" s="5"/>
      <c r="AH30" s="5"/>
    </row>
    <row r="31" spans="1:34" x14ac:dyDescent="0.3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5"/>
      <c r="AF31" s="5"/>
      <c r="AG31" s="5"/>
      <c r="AH31" s="5"/>
    </row>
    <row r="32" spans="1:34" x14ac:dyDescent="0.3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5"/>
      <c r="AF32" s="5"/>
      <c r="AG32" s="5"/>
      <c r="AH32" s="5"/>
    </row>
    <row r="33" spans="1:34" x14ac:dyDescent="0.3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5"/>
      <c r="AF33" s="5"/>
      <c r="AG33" s="5"/>
      <c r="AH33" s="5"/>
    </row>
    <row r="34" spans="1:34" x14ac:dyDescent="0.3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5"/>
      <c r="AF34" s="5"/>
      <c r="AG34" s="5"/>
      <c r="AH34" s="5"/>
    </row>
    <row r="35" spans="1:34" x14ac:dyDescent="0.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5"/>
      <c r="AF35" s="5"/>
      <c r="AG35" s="5"/>
      <c r="AH35" s="5"/>
    </row>
    <row r="36" spans="1:34" x14ac:dyDescent="0.3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5"/>
      <c r="AF36" s="5"/>
      <c r="AG36" s="5"/>
      <c r="AH36" s="5"/>
    </row>
    <row r="37" spans="1:34" x14ac:dyDescent="0.3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5"/>
      <c r="AF37" s="5"/>
      <c r="AG37" s="5"/>
      <c r="AH37" s="5"/>
    </row>
    <row r="38" spans="1:34" x14ac:dyDescent="0.3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5"/>
      <c r="AF38" s="5"/>
      <c r="AG38" s="5"/>
      <c r="AH38" s="5"/>
    </row>
    <row r="39" spans="1:34" x14ac:dyDescent="0.3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5"/>
      <c r="AF39" s="5"/>
      <c r="AG39" s="5"/>
      <c r="AH39" s="5"/>
    </row>
    <row r="40" spans="1:34" x14ac:dyDescent="0.3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5"/>
      <c r="AF40" s="5"/>
      <c r="AG40" s="5"/>
      <c r="AH40" s="5"/>
    </row>
    <row r="41" spans="1:34" x14ac:dyDescent="0.3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5"/>
      <c r="AF41" s="5"/>
      <c r="AG41" s="5"/>
      <c r="AH41" s="5"/>
    </row>
    <row r="42" spans="1:34" x14ac:dyDescent="0.3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5"/>
      <c r="AF42" s="5"/>
      <c r="AG42" s="5"/>
      <c r="AH42" s="5"/>
    </row>
    <row r="43" spans="1:34" x14ac:dyDescent="0.3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5"/>
      <c r="AF43" s="5"/>
      <c r="AG43" s="5"/>
      <c r="AH43" s="5"/>
    </row>
    <row r="44" spans="1:34" x14ac:dyDescent="0.3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5"/>
      <c r="AF44" s="5"/>
      <c r="AG44" s="5"/>
      <c r="AH44" s="5"/>
    </row>
    <row r="45" spans="1:34" x14ac:dyDescent="0.3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5"/>
      <c r="AF45" s="5"/>
      <c r="AG45" s="5"/>
      <c r="AH45" s="5"/>
    </row>
    <row r="46" spans="1:34" x14ac:dyDescent="0.3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5"/>
      <c r="AF46" s="5"/>
      <c r="AG46" s="5"/>
      <c r="AH46" s="5"/>
    </row>
    <row r="47" spans="1:34" x14ac:dyDescent="0.3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5"/>
      <c r="AF47" s="5"/>
      <c r="AG47" s="5"/>
      <c r="AH47" s="5"/>
    </row>
    <row r="48" spans="1:34" x14ac:dyDescent="0.3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5"/>
      <c r="AF48" s="5"/>
      <c r="AG48" s="5"/>
      <c r="AH48" s="5"/>
    </row>
    <row r="49" spans="1:34" x14ac:dyDescent="0.3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5"/>
      <c r="AF49" s="5"/>
      <c r="AG49" s="5"/>
      <c r="AH49" s="5"/>
    </row>
    <row r="50" spans="1:34" x14ac:dyDescent="0.3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5"/>
      <c r="AF50" s="5"/>
      <c r="AG50" s="5"/>
      <c r="AH50" s="5"/>
    </row>
    <row r="51" spans="1:34" x14ac:dyDescent="0.35">
      <c r="A51" s="4"/>
      <c r="B51" s="4"/>
      <c r="C51" s="4"/>
      <c r="D51" s="4"/>
      <c r="E51" s="4"/>
      <c r="F51" s="4"/>
      <c r="G51" s="4"/>
      <c r="H51" s="4"/>
      <c r="I51" s="4"/>
      <c r="J51" s="4"/>
      <c r="K51" s="4"/>
      <c r="L51" s="4"/>
      <c r="M51" s="4"/>
      <c r="N51" s="4"/>
      <c r="O51" s="4"/>
      <c r="P51" s="4"/>
      <c r="Q51" s="4"/>
      <c r="R51" s="4"/>
      <c r="S51" s="4"/>
      <c r="T51" s="4"/>
      <c r="U51" s="4"/>
      <c r="V51" s="4"/>
      <c r="W51" s="4"/>
      <c r="X51" s="7"/>
      <c r="Y51" s="4"/>
      <c r="Z51" s="4"/>
      <c r="AA51" s="7" t="s">
        <v>2061</v>
      </c>
      <c r="AB51" s="4"/>
      <c r="AC51" s="4"/>
      <c r="AD51" s="4"/>
      <c r="AE51" s="5"/>
      <c r="AF51" s="5"/>
      <c r="AG51" s="5"/>
      <c r="AH51" s="5"/>
    </row>
    <row r="52" spans="1:34" x14ac:dyDescent="0.3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5"/>
      <c r="AF52" s="5"/>
      <c r="AG52" s="5"/>
      <c r="AH52" s="5"/>
    </row>
    <row r="53" spans="1:34"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row>
    <row r="54" spans="1:34"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row>
    <row r="55" spans="1:34"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row>
    <row r="56" spans="1:34"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row>
    <row r="57" spans="1:34"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row>
    <row r="58" spans="1:34"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row>
    <row r="59" spans="1:34"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row>
    <row r="60" spans="1:34"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row>
    <row r="61" spans="1:34"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row>
    <row r="62" spans="1:34"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row>
    <row r="63" spans="1:34"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row>
    <row r="64" spans="1:34"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row>
    <row r="65" spans="1:34"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row>
    <row r="66" spans="1:34"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row>
    <row r="67" spans="1:34"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row>
    <row r="68" spans="1:34"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row>
    <row r="69" spans="1:34"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row>
    <row r="70" spans="1:34"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row>
    <row r="71" spans="1:34"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row>
    <row r="72" spans="1:34"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row>
    <row r="73" spans="1:34"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row>
    <row r="74" spans="1:34"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row>
    <row r="75" spans="1:34"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row>
    <row r="76" spans="1:34"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row>
    <row r="77" spans="1:34"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row>
    <row r="78" spans="1:34"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DD1DA3-CE1F-44EA-A8FD-0B3C7B2567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Yashraj Mandloi</cp:lastModifiedBy>
  <dcterms:created xsi:type="dcterms:W3CDTF">2026-04-30T01:59:03Z</dcterms:created>
  <dcterms:modified xsi:type="dcterms:W3CDTF">2026-05-01T06:57:35Z</dcterms:modified>
</cp:coreProperties>
</file>